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3.xml" ContentType="application/vnd.openxmlformats-officedocument.spreadsheetml.pivot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5e4aca69ea7a234/Desktop/Excel Practice/Projects/"/>
    </mc:Choice>
  </mc:AlternateContent>
  <xr:revisionPtr revIDLastSave="0" documentId="8_{5527105A-04FB-4FC0-BE5E-7A670937F1C4}" xr6:coauthVersionLast="47" xr6:coauthVersionMax="47" xr10:uidLastSave="{00000000-0000-0000-0000-000000000000}"/>
  <bookViews>
    <workbookView xWindow="-108" yWindow="-108" windowWidth="23256" windowHeight="13176" firstSheet="2" activeTab="7" xr2:uid="{B3DB8371-D507-41C4-B19D-28B37E27932D}"/>
  </bookViews>
  <sheets>
    <sheet name="Product_clean" sheetId="2" r:id="rId1"/>
    <sheet name="Customer" sheetId="3" r:id="rId2"/>
    <sheet name="Location_map" sheetId="9" r:id="rId3"/>
    <sheet name="Pivot_Revenue_BY_Category" sheetId="14" r:id="rId4"/>
    <sheet name="Orders" sheetId="5" r:id="rId5"/>
    <sheet name="Sheet10" sheetId="28" r:id="rId6"/>
    <sheet name="Ref_Amnt_By_Ref_Rsn_Pivot" sheetId="15" r:id="rId7"/>
    <sheet name="Refund" sheetId="7" r:id="rId8"/>
    <sheet name="Sheet11" sheetId="29" r:id="rId9"/>
    <sheet name="Pivot_On-Site VS Late" sheetId="16" r:id="rId10"/>
    <sheet name="KPI_Summary" sheetId="26" r:id="rId11"/>
    <sheet name="Delivery" sheetId="6" r:id="rId12"/>
    <sheet name="Dashboard" sheetId="31" r:id="rId13"/>
    <sheet name="Product" sheetId="1" r:id="rId14"/>
  </sheets>
  <definedNames>
    <definedName name="_xlnm._FilterDatabase" localSheetId="4" hidden="1">Orders!$A$1:$G$31</definedName>
    <definedName name="_xlcn.WorksheetConnection_CustomerBB1" hidden="1">Customer!$A:$A</definedName>
    <definedName name="_xlcn.WorksheetConnection_ECommerceRevenueLeakageProjectusingExcel.xlsxtbl_Customer1" hidden="1">Customer!$A$1:$F$31</definedName>
    <definedName name="_xlcn.WorksheetConnection_ECommerceRevenueLeakageProjectusingExcel.xlsxtbl_Customer11" hidden="1">tbl_Customer[]</definedName>
    <definedName name="_xlcn.WorksheetConnection_ECommerceRevenueLeakageProjectusingExcel.xlsxtbl_Delivery1" hidden="1">tbl_Delivery[]</definedName>
    <definedName name="_xlcn.WorksheetConnection_ECommerceRevenueLeakageProjectusingExcel.xlsxtbl_Location1" hidden="1">tbl_Location[]</definedName>
    <definedName name="_xlcn.WorksheetConnection_ECommerceRevenueLeakageProjectusingExcel.xlsxtbl_Orders1" hidden="1">Orders!$A$1:$K$31</definedName>
    <definedName name="_xlcn.WorksheetConnection_ECommerceRevenueLeakageProjectusingExcel.xlsxtbl_Orders11" hidden="1">tbl_Orders[]</definedName>
    <definedName name="_xlcn.WorksheetConnection_ECommerceRevenueLeakageProjectusingExcel.xlsxtbl_Product1" hidden="1">tbl_Product[]</definedName>
    <definedName name="_xlcn.WorksheetConnection_ECommerceRevenueLeakageProjectusingExcel.xlsxtbl_Refund1" hidden="1">tbl_Refund[]</definedName>
    <definedName name="ExternalData_1" localSheetId="5" hidden="1">Sheet10!$A$3:$J$17</definedName>
    <definedName name="ExternalData_1" localSheetId="8" hidden="1">Sheet11!$A$3:$G$21</definedName>
  </definedNames>
  <calcPr calcId="191029"/>
  <pivotCaches>
    <pivotCache cacheId="0" r:id="rId15"/>
    <pivotCache cacheId="1" r:id="rId16"/>
    <pivotCache cacheId="2" r:id="rId17"/>
  </pivotCaches>
  <extLst>
    <ext xmlns:x15="http://schemas.microsoft.com/office/spreadsheetml/2010/11/main" uri="{FCE2AD5D-F65C-4FA6-A056-5C36A1767C68}">
      <x15:dataModel>
        <x15:modelTables>
          <x15:modelTable id="tbl_Refund" name="tbl_Refund" connection="WorksheetConnection_E-Commerce Revenue Leakage Project using Excel.xlsx!tbl_Refund"/>
          <x15:modelTable id="tbl_Product" name="tbl_Product" connection="WorksheetConnection_E-Commerce Revenue Leakage Project using Excel.xlsx!tbl_Product"/>
          <x15:modelTable id="tbl_Orders 1" name="tbl_Orders 1" connection="WorksheetConnection_E-Commerce Revenue Leakage Project using Excel.xlsx!tbl_Orders1"/>
          <x15:modelTable id="tbl_Orders" name="tbl_Orders" connection="WorksheetConnection_E-Commerce Revenue Leakage Project using Excel.xlsx!tbl_Orders"/>
          <x15:modelTable id="tbl_Location" name="tbl_Location" connection="WorksheetConnection_E-Commerce Revenue Leakage Project using Excel.xlsx!tbl_Location"/>
          <x15:modelTable id="tbl_Delivery" name="tbl_Delivery" connection="WorksheetConnection_E-Commerce Revenue Leakage Project using Excel.xlsx!tbl_Delivery"/>
          <x15:modelTable id="tbl_Customer 1" name="tbl_Customer 1" connection="WorksheetConnection_E-Commerce Revenue Leakage Project using Excel.xlsx!tbl_Customer1"/>
          <x15:modelTable id="tbl_Customer" name="tbl_Customer" connection="WorksheetConnection_E-Commerce Revenue Leakage Project using Excel.xlsx!tbl_Customer"/>
          <x15:modelTable id="Range" name="Range" connection="WorksheetConnection_Customer!$B:$B"/>
        </x15:modelTables>
        <x15:modelRelationships>
          <x15:modelRelationship fromTable="tbl_Orders" fromColumn="Product ID" toTable="tbl_Product" toColumn="Product ID"/>
          <x15:modelRelationship fromTable="tbl_Customer 1" fromColumn="Customer_ID2" toTable="tbl_Orders 1" toColumn="Customer_ID2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26" l="1"/>
  <c r="B4" i="26"/>
  <c r="I3" i="7"/>
  <c r="I4" i="7"/>
  <c r="I5" i="7"/>
  <c r="I6" i="7"/>
  <c r="I7" i="7"/>
  <c r="I8" i="7"/>
  <c r="I9" i="7"/>
  <c r="I10" i="7"/>
  <c r="I11" i="7"/>
  <c r="I12" i="7"/>
  <c r="I13" i="7"/>
  <c r="I14" i="7"/>
  <c r="I2" i="7"/>
  <c r="H3" i="7"/>
  <c r="H4" i="7"/>
  <c r="H5" i="7"/>
  <c r="H6" i="7"/>
  <c r="H7" i="7"/>
  <c r="H8" i="7"/>
  <c r="H9" i="7"/>
  <c r="H10" i="7"/>
  <c r="H11" i="7"/>
  <c r="H12" i="7"/>
  <c r="H13" i="7"/>
  <c r="H14" i="7"/>
  <c r="H2" i="7"/>
  <c r="J3" i="5"/>
  <c r="J14" i="5"/>
  <c r="J22" i="5"/>
  <c r="J30" i="5"/>
  <c r="H3" i="5"/>
  <c r="I3" i="5" s="1"/>
  <c r="H4" i="5"/>
  <c r="I4" i="5" s="1"/>
  <c r="H5" i="5"/>
  <c r="I5" i="5" s="1"/>
  <c r="H6" i="5"/>
  <c r="I6" i="5" s="1"/>
  <c r="H7" i="5"/>
  <c r="I7" i="5" s="1"/>
  <c r="H8" i="5"/>
  <c r="I8" i="5" s="1"/>
  <c r="H9" i="5"/>
  <c r="I9" i="5" s="1"/>
  <c r="H10" i="5"/>
  <c r="I10" i="5" s="1"/>
  <c r="H11" i="5"/>
  <c r="I11" i="5" s="1"/>
  <c r="H12" i="5"/>
  <c r="I12" i="5" s="1"/>
  <c r="H13" i="5"/>
  <c r="I13" i="5" s="1"/>
  <c r="H14" i="5"/>
  <c r="I14" i="5" s="1"/>
  <c r="H15" i="5"/>
  <c r="I15" i="5" s="1"/>
  <c r="H16" i="5"/>
  <c r="I16" i="5" s="1"/>
  <c r="H17" i="5"/>
  <c r="I17" i="5" s="1"/>
  <c r="H18" i="5"/>
  <c r="I18" i="5" s="1"/>
  <c r="H19" i="5"/>
  <c r="I19" i="5" s="1"/>
  <c r="H20" i="5"/>
  <c r="I20" i="5" s="1"/>
  <c r="H21" i="5"/>
  <c r="I21" i="5" s="1"/>
  <c r="H22" i="5"/>
  <c r="I22" i="5" s="1"/>
  <c r="H23" i="5"/>
  <c r="I23" i="5" s="1"/>
  <c r="H24" i="5"/>
  <c r="I24" i="5" s="1"/>
  <c r="H25" i="5"/>
  <c r="I25" i="5" s="1"/>
  <c r="H26" i="5"/>
  <c r="I26" i="5" s="1"/>
  <c r="H27" i="5"/>
  <c r="I27" i="5" s="1"/>
  <c r="H28" i="5"/>
  <c r="I28" i="5" s="1"/>
  <c r="H29" i="5"/>
  <c r="I29" i="5" s="1"/>
  <c r="H30" i="5"/>
  <c r="I30" i="5" s="1"/>
  <c r="H31" i="5"/>
  <c r="I31" i="5" s="1"/>
  <c r="H2" i="5"/>
  <c r="I2" i="5" s="1"/>
  <c r="F3" i="7"/>
  <c r="F4" i="7"/>
  <c r="F5" i="7"/>
  <c r="F6" i="7"/>
  <c r="F7" i="7"/>
  <c r="F8" i="7"/>
  <c r="F9" i="7"/>
  <c r="F10" i="7"/>
  <c r="F11" i="7"/>
  <c r="F12" i="7"/>
  <c r="F13" i="7"/>
  <c r="F14" i="7"/>
  <c r="F2" i="7"/>
  <c r="B2" i="6"/>
  <c r="D2" i="6" s="1"/>
  <c r="B3" i="6"/>
  <c r="F3" i="6" s="1"/>
  <c r="B4" i="6"/>
  <c r="F4" i="6" s="1"/>
  <c r="B5" i="6"/>
  <c r="F5" i="6" s="1"/>
  <c r="B6" i="6"/>
  <c r="F6" i="6" s="1"/>
  <c r="B7" i="6"/>
  <c r="F7" i="6" s="1"/>
  <c r="B8" i="6"/>
  <c r="F8" i="6" s="1"/>
  <c r="B9" i="6"/>
  <c r="F9" i="6" s="1"/>
  <c r="B10" i="6"/>
  <c r="F10" i="6" s="1"/>
  <c r="B11" i="6"/>
  <c r="F11" i="6" s="1"/>
  <c r="B12" i="6"/>
  <c r="F12" i="6" s="1"/>
  <c r="B13" i="6"/>
  <c r="F13" i="6" s="1"/>
  <c r="B14" i="6"/>
  <c r="F14" i="6" s="1"/>
  <c r="B15" i="6"/>
  <c r="F15" i="6" s="1"/>
  <c r="B16" i="6"/>
  <c r="F16" i="6" s="1"/>
  <c r="B17" i="6"/>
  <c r="F17" i="6" s="1"/>
  <c r="B18" i="6"/>
  <c r="F18" i="6" s="1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L2" i="2"/>
  <c r="N2" i="2" s="1"/>
  <c r="O2" i="2" s="1"/>
  <c r="L3" i="2"/>
  <c r="N3" i="2" s="1"/>
  <c r="O3" i="2" s="1"/>
  <c r="L4" i="2"/>
  <c r="N4" i="2" s="1"/>
  <c r="O4" i="2" s="1"/>
  <c r="L5" i="2"/>
  <c r="N5" i="2" s="1"/>
  <c r="O5" i="2" s="1"/>
  <c r="L6" i="2"/>
  <c r="N6" i="2" s="1"/>
  <c r="O6" i="2" s="1"/>
  <c r="L7" i="2"/>
  <c r="N7" i="2" s="1"/>
  <c r="O7" i="2" s="1"/>
  <c r="L8" i="2"/>
  <c r="N8" i="2" s="1"/>
  <c r="O8" i="2" s="1"/>
  <c r="L9" i="2"/>
  <c r="N9" i="2" s="1"/>
  <c r="O9" i="2" s="1"/>
  <c r="L10" i="2"/>
  <c r="N10" i="2" s="1"/>
  <c r="O10" i="2" s="1"/>
  <c r="L11" i="2"/>
  <c r="N11" i="2" s="1"/>
  <c r="O11" i="2" s="1"/>
  <c r="L12" i="2"/>
  <c r="N12" i="2" s="1"/>
  <c r="O12" i="2" s="1"/>
  <c r="L13" i="2"/>
  <c r="N13" i="2" s="1"/>
  <c r="O13" i="2" s="1"/>
  <c r="L14" i="2"/>
  <c r="N14" i="2" s="1"/>
  <c r="O14" i="2" s="1"/>
  <c r="L15" i="2"/>
  <c r="N15" i="2" s="1"/>
  <c r="O15" i="2" s="1"/>
  <c r="L16" i="2"/>
  <c r="N16" i="2" s="1"/>
  <c r="O16" i="2" s="1"/>
  <c r="L17" i="2"/>
  <c r="N17" i="2" s="1"/>
  <c r="O17" i="2" s="1"/>
  <c r="L18" i="2"/>
  <c r="N18" i="2" s="1"/>
  <c r="O18" i="2" s="1"/>
  <c r="L19" i="2"/>
  <c r="N19" i="2" s="1"/>
  <c r="O19" i="2" s="1"/>
  <c r="L20" i="2"/>
  <c r="N20" i="2" s="1"/>
  <c r="O20" i="2" s="1"/>
  <c r="L21" i="2"/>
  <c r="N21" i="2" s="1"/>
  <c r="O21" i="2" s="1"/>
  <c r="L22" i="2"/>
  <c r="N22" i="2" s="1"/>
  <c r="O22" i="2" s="1"/>
  <c r="L23" i="2"/>
  <c r="N23" i="2" s="1"/>
  <c r="O23" i="2" s="1"/>
  <c r="L24" i="2"/>
  <c r="N24" i="2" s="1"/>
  <c r="O24" i="2" s="1"/>
  <c r="L25" i="2"/>
  <c r="N25" i="2" s="1"/>
  <c r="O25" i="2" s="1"/>
  <c r="L26" i="2"/>
  <c r="N26" i="2" s="1"/>
  <c r="O26" i="2" s="1"/>
  <c r="L27" i="2"/>
  <c r="N27" i="2" s="1"/>
  <c r="O27" i="2" s="1"/>
  <c r="L28" i="2"/>
  <c r="N28" i="2" s="1"/>
  <c r="O28" i="2" s="1"/>
  <c r="L29" i="2"/>
  <c r="N29" i="2" s="1"/>
  <c r="O29" i="2" s="1"/>
  <c r="L30" i="2"/>
  <c r="N30" i="2" s="1"/>
  <c r="O30" i="2" s="1"/>
  <c r="L31" i="2"/>
  <c r="N31" i="2" s="1"/>
  <c r="O31" i="2" s="1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27" i="5" l="1"/>
  <c r="J19" i="5"/>
  <c r="K19" i="5" s="1"/>
  <c r="J11" i="5"/>
  <c r="K11" i="5" s="1"/>
  <c r="J26" i="5"/>
  <c r="K26" i="5" s="1"/>
  <c r="J18" i="5"/>
  <c r="J10" i="5"/>
  <c r="J31" i="5"/>
  <c r="K31" i="5" s="1"/>
  <c r="J23" i="5"/>
  <c r="K23" i="5" s="1"/>
  <c r="J15" i="5"/>
  <c r="J7" i="5"/>
  <c r="K18" i="5"/>
  <c r="K10" i="5"/>
  <c r="K30" i="5"/>
  <c r="K22" i="5"/>
  <c r="K14" i="5"/>
  <c r="J6" i="5"/>
  <c r="K6" i="5" s="1"/>
  <c r="J29" i="5"/>
  <c r="K29" i="5" s="1"/>
  <c r="J25" i="5"/>
  <c r="K25" i="5" s="1"/>
  <c r="J21" i="5"/>
  <c r="K21" i="5" s="1"/>
  <c r="J17" i="5"/>
  <c r="K17" i="5" s="1"/>
  <c r="J13" i="5"/>
  <c r="K13" i="5" s="1"/>
  <c r="J9" i="5"/>
  <c r="K9" i="5" s="1"/>
  <c r="J5" i="5"/>
  <c r="K5" i="5" s="1"/>
  <c r="J2" i="5"/>
  <c r="K2" i="5" s="1"/>
  <c r="J28" i="5"/>
  <c r="K28" i="5" s="1"/>
  <c r="J24" i="5"/>
  <c r="K24" i="5" s="1"/>
  <c r="J20" i="5"/>
  <c r="K20" i="5" s="1"/>
  <c r="J16" i="5"/>
  <c r="K16" i="5" s="1"/>
  <c r="J12" i="5"/>
  <c r="K12" i="5" s="1"/>
  <c r="J8" i="5"/>
  <c r="K8" i="5" s="1"/>
  <c r="J4" i="5"/>
  <c r="K4" i="5" s="1"/>
  <c r="K27" i="5"/>
  <c r="K15" i="5"/>
  <c r="K7" i="5"/>
  <c r="K3" i="5"/>
  <c r="D14" i="6"/>
  <c r="G14" i="6" s="1"/>
  <c r="D10" i="6"/>
  <c r="G10" i="6" s="1"/>
  <c r="D6" i="6"/>
  <c r="G6" i="6" s="1"/>
  <c r="D18" i="6"/>
  <c r="G18" i="6" s="1"/>
  <c r="F2" i="6"/>
  <c r="G2" i="6" s="1"/>
  <c r="D16" i="6"/>
  <c r="G16" i="6" s="1"/>
  <c r="D12" i="6"/>
  <c r="G12" i="6" s="1"/>
  <c r="D8" i="6"/>
  <c r="G8" i="6" s="1"/>
  <c r="D4" i="6"/>
  <c r="G4" i="6" s="1"/>
  <c r="D15" i="6"/>
  <c r="G15" i="6" s="1"/>
  <c r="D11" i="6"/>
  <c r="G11" i="6" s="1"/>
  <c r="D7" i="6"/>
  <c r="G7" i="6" s="1"/>
  <c r="D3" i="6"/>
  <c r="G3" i="6" s="1"/>
  <c r="D17" i="6"/>
  <c r="G17" i="6" s="1"/>
  <c r="D13" i="6"/>
  <c r="G13" i="6" s="1"/>
  <c r="D9" i="6"/>
  <c r="G9" i="6" s="1"/>
  <c r="D5" i="6"/>
  <c r="G5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A36BA1-9D01-485A-BAA7-A6AD01A0A16C}" keepAlive="1" name="ModelConnection_ExternalData_1" description="Data Model" type="5" refreshedVersion="8" minRefreshableVersion="5" saveData="1">
    <dbPr connection="Data Model Connection" command="DRILLTHROUGH MAXROWS 1000 SELECT FROM [Model] WHERE ([Measures].[Sum of Refund_Amount(PARTIAL)]) RETURN [$tbl_Refund].[Refund_ID],[$tbl_Refund].[Order_ID],[$tbl_Refund].[Product ID],[$tbl_Refund].[Quantity],[$tbl_Refund].[Order_Date],[$tbl_Refund].[Refund_Date],[$tbl_Refund].[Unit_Selling_Price],[$tbl_Refund].[Order_Amount],[$tbl_Refund].[Refund_Amount(PARTIAL)],[$tbl_Refund].[Refund_Reason]" commandType="4"/>
    <extLst>
      <ext xmlns:x15="http://schemas.microsoft.com/office/spreadsheetml/2010/11/main" uri="{DE250136-89BD-433C-8126-D09CA5730AF9}">
        <x15:connection id="" model="1"/>
      </ext>
    </extLst>
  </connection>
  <connection id="2" xr16:uid="{82A2B211-4C78-4FD5-B479-E11AF7ADC5AD}" keepAlive="1" name="ModelConnection_ExternalData_11" description="Data Model" type="5" refreshedVersion="8" minRefreshableVersion="5" saveData="1">
    <dbPr connection="Data Model Connection" command="DRILLTHROUGH MAXROWS 1000 SELECT FROM [Model] WHERE ([Measures].[Count of Order_ID]) RETURN [$tbl_Delivery].[Order_ID],[$tbl_Delivery].[Ordered_Date],[$tbl_Delivery].[Promised_Day],[$tbl_Delivery].[Promised_Delivery_Date],[$tbl_Delivery].[Actual_Day],[$tbl_Delivery].[Actual_Delivery_date],[$tbl_Delivery].[Delivery_Status]" commandType="4"/>
    <extLst>
      <ext xmlns:x15="http://schemas.microsoft.com/office/spreadsheetml/2010/11/main" uri="{DE250136-89BD-433C-8126-D09CA5730AF9}">
        <x15:connection id="" model="1"/>
      </ext>
    </extLst>
  </connection>
  <connection id="3" xr16:uid="{576DD714-B748-4098-B0EA-97DEED9BA382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5B1751B8-F5CD-4A2B-AC83-70E821AA3CDB}" name="WorksheetConnection_Customer!$B:$B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CustomerBB1"/>
        </x15:connection>
      </ext>
    </extLst>
  </connection>
  <connection id="5" xr16:uid="{FBFD7377-5084-4A0E-93B4-67DA21F3A2DF}" name="WorksheetConnection_E-Commerce Revenue Leakage Project using Excel.xlsx!tbl_Customer" type="102" refreshedVersion="8" minRefreshableVersion="5">
    <extLst>
      <ext xmlns:x15="http://schemas.microsoft.com/office/spreadsheetml/2010/11/main" uri="{DE250136-89BD-433C-8126-D09CA5730AF9}">
        <x15:connection id="tbl_Customer">
          <x15:rangePr sourceName="_xlcn.WorksheetConnection_ECommerceRevenueLeakageProjectusingExcel.xlsxtbl_Customer1"/>
        </x15:connection>
      </ext>
    </extLst>
  </connection>
  <connection id="6" xr16:uid="{EFCE491F-F4AA-4899-B9C2-AF3AB98F6F23}" name="WorksheetConnection_E-Commerce Revenue Leakage Project using Excel.xlsx!tbl_Customer1" type="102" refreshedVersion="8" minRefreshableVersion="5">
    <extLst>
      <ext xmlns:x15="http://schemas.microsoft.com/office/spreadsheetml/2010/11/main" uri="{DE250136-89BD-433C-8126-D09CA5730AF9}">
        <x15:connection id="tbl_Customer 1" autoDelete="1">
          <x15:rangePr sourceName="_xlcn.WorksheetConnection_ECommerceRevenueLeakageProjectusingExcel.xlsxtbl_Customer11"/>
        </x15:connection>
      </ext>
    </extLst>
  </connection>
  <connection id="7" xr16:uid="{B7133883-8085-4588-A432-6DB083044DE2}" name="WorksheetConnection_E-Commerce Revenue Leakage Project using Excel.xlsx!tbl_Delivery" type="102" refreshedVersion="8" minRefreshableVersion="5">
    <extLst>
      <ext xmlns:x15="http://schemas.microsoft.com/office/spreadsheetml/2010/11/main" uri="{DE250136-89BD-433C-8126-D09CA5730AF9}">
        <x15:connection id="tbl_Delivery" autoDelete="1">
          <x15:rangePr sourceName="_xlcn.WorksheetConnection_ECommerceRevenueLeakageProjectusingExcel.xlsxtbl_Delivery1"/>
        </x15:connection>
      </ext>
    </extLst>
  </connection>
  <connection id="8" xr16:uid="{8E26EF7B-34C8-4D29-BDDE-A153B413E659}" name="WorksheetConnection_E-Commerce Revenue Leakage Project using Excel.xlsx!tbl_Location" type="102" refreshedVersion="8" minRefreshableVersion="5">
    <extLst>
      <ext xmlns:x15="http://schemas.microsoft.com/office/spreadsheetml/2010/11/main" uri="{DE250136-89BD-433C-8126-D09CA5730AF9}">
        <x15:connection id="tbl_Location">
          <x15:rangePr sourceName="_xlcn.WorksheetConnection_ECommerceRevenueLeakageProjectusingExcel.xlsxtbl_Location1"/>
        </x15:connection>
      </ext>
    </extLst>
  </connection>
  <connection id="9" xr16:uid="{DE136A4A-B528-4EB6-84CC-CF393C61223F}" name="WorksheetConnection_E-Commerce Revenue Leakage Project using Excel.xlsx!tbl_Orders" type="102" refreshedVersion="8" minRefreshableVersion="5">
    <extLst>
      <ext xmlns:x15="http://schemas.microsoft.com/office/spreadsheetml/2010/11/main" uri="{DE250136-89BD-433C-8126-D09CA5730AF9}">
        <x15:connection id="tbl_Orders" autoDelete="1">
          <x15:rangePr sourceName="_xlcn.WorksheetConnection_ECommerceRevenueLeakageProjectusingExcel.xlsxtbl_Orders1"/>
        </x15:connection>
      </ext>
    </extLst>
  </connection>
  <connection id="10" xr16:uid="{507DC28E-55F8-422C-8361-B81B2ECE92CD}" name="WorksheetConnection_E-Commerce Revenue Leakage Project using Excel.xlsx!tbl_Orders1" type="102" refreshedVersion="8" minRefreshableVersion="5">
    <extLst>
      <ext xmlns:x15="http://schemas.microsoft.com/office/spreadsheetml/2010/11/main" uri="{DE250136-89BD-433C-8126-D09CA5730AF9}">
        <x15:connection id="tbl_Orders 1">
          <x15:rangePr sourceName="_xlcn.WorksheetConnection_ECommerceRevenueLeakageProjectusingExcel.xlsxtbl_Orders11"/>
        </x15:connection>
      </ext>
    </extLst>
  </connection>
  <connection id="11" xr16:uid="{078D61BF-19E1-4E74-801C-D10B4393C036}" name="WorksheetConnection_E-Commerce Revenue Leakage Project using Excel.xlsx!tbl_Product" type="102" refreshedVersion="8" minRefreshableVersion="5">
    <extLst>
      <ext xmlns:x15="http://schemas.microsoft.com/office/spreadsheetml/2010/11/main" uri="{DE250136-89BD-433C-8126-D09CA5730AF9}">
        <x15:connection id="tbl_Product">
          <x15:rangePr sourceName="_xlcn.WorksheetConnection_ECommerceRevenueLeakageProjectusingExcel.xlsxtbl_Product1"/>
        </x15:connection>
      </ext>
    </extLst>
  </connection>
  <connection id="12" xr16:uid="{14C32B81-738A-4B69-B9D1-850E5CA42669}" name="WorksheetConnection_E-Commerce Revenue Leakage Project using Excel.xlsx!tbl_Refund" type="102" refreshedVersion="8" minRefreshableVersion="5">
    <extLst>
      <ext xmlns:x15="http://schemas.microsoft.com/office/spreadsheetml/2010/11/main" uri="{DE250136-89BD-433C-8126-D09CA5730AF9}">
        <x15:connection id="tbl_Refund" autoDelete="1">
          <x15:rangePr sourceName="_xlcn.WorksheetConnection_ECommerceRevenueLeakageProjectusingExcel.xlsxtbl_Refund1"/>
        </x15:connection>
      </ext>
    </extLst>
  </connection>
</connections>
</file>

<file path=xl/sharedStrings.xml><?xml version="1.0" encoding="utf-8"?>
<sst xmlns="http://schemas.openxmlformats.org/spreadsheetml/2006/main" count="1040" uniqueCount="366">
  <si>
    <t>Product ID</t>
  </si>
  <si>
    <t>Product Name</t>
  </si>
  <si>
    <t>Category</t>
  </si>
  <si>
    <t>Sub-Category</t>
  </si>
  <si>
    <t>Price</t>
  </si>
  <si>
    <t>Discount Price</t>
  </si>
  <si>
    <t>Ratings</t>
  </si>
  <si>
    <t>Reviews</t>
  </si>
  <si>
    <t>Seller Name</t>
  </si>
  <si>
    <t>Delivery Time</t>
  </si>
  <si>
    <t>Availability</t>
  </si>
  <si>
    <t>MS001</t>
  </si>
  <si>
    <t>Womenâ€™s Rayon Printed Kurti</t>
  </si>
  <si>
    <t>Clothing</t>
  </si>
  <si>
    <t>Kurtis</t>
  </si>
  <si>
    <t>TrendyHub</t>
  </si>
  <si>
    <t>5â€“7 Days</t>
  </si>
  <si>
    <t>In-Stock</t>
  </si>
  <si>
    <t>MS002</t>
  </si>
  <si>
    <t>Cotton Blend Saree</t>
  </si>
  <si>
    <t>Sarees</t>
  </si>
  <si>
    <t>SareeVilla</t>
  </si>
  <si>
    <t>6â€“8 Days</t>
  </si>
  <si>
    <t>MS003</t>
  </si>
  <si>
    <t>Menâ€™s Casual Slim Fit Shirt</t>
  </si>
  <si>
    <t>Menâ€™s Fashion</t>
  </si>
  <si>
    <t>Shirts</t>
  </si>
  <si>
    <t>UrbanWear</t>
  </si>
  <si>
    <t>4â€“6 Days</t>
  </si>
  <si>
    <t>MS004</t>
  </si>
  <si>
    <t>Womenâ€™s Ankle Length Leggings</t>
  </si>
  <si>
    <t>Bottomwear</t>
  </si>
  <si>
    <t>LeggingsWorld</t>
  </si>
  <si>
    <t>MS005</t>
  </si>
  <si>
    <t>Stainless Steel Water Bottle 1L</t>
  </si>
  <si>
    <t>Home</t>
  </si>
  <si>
    <t>Kitchen</t>
  </si>
  <si>
    <t>HomeEssentials</t>
  </si>
  <si>
    <t>3â€“5 Days</t>
  </si>
  <si>
    <t>MS006</t>
  </si>
  <si>
    <t>Printed Bedsheet with Pillow Covers</t>
  </si>
  <si>
    <t>Bedding</t>
  </si>
  <si>
    <t>DecorMagic</t>
  </si>
  <si>
    <t>5â€“8 Days</t>
  </si>
  <si>
    <t>MS007</t>
  </si>
  <si>
    <t>Soft Baby Cotton Romper</t>
  </si>
  <si>
    <t>Kids</t>
  </si>
  <si>
    <t>Babywear</t>
  </si>
  <si>
    <t>LittleStars</t>
  </si>
  <si>
    <t>MS008</t>
  </si>
  <si>
    <t>Womenâ€™s Faux Leather Handbag</t>
  </si>
  <si>
    <t>Accessories</t>
  </si>
  <si>
    <t>Bags</t>
  </si>
  <si>
    <t>FashionBagHub</t>
  </si>
  <si>
    <t>MS009</t>
  </si>
  <si>
    <t>Menâ€™s Running Sports Shoes</t>
  </si>
  <si>
    <t>Footwear</t>
  </si>
  <si>
    <t>Sports Shoes</t>
  </si>
  <si>
    <t>Sportify</t>
  </si>
  <si>
    <t>MS010</t>
  </si>
  <si>
    <t>Womenâ€™s Oxidised Silver Earrings</t>
  </si>
  <si>
    <t>Jewellery</t>
  </si>
  <si>
    <t>Earrings</t>
  </si>
  <si>
    <t>JewelWorld</t>
  </si>
  <si>
    <t>MS011</t>
  </si>
  <si>
    <t>Microfiber Double Bedsheet</t>
  </si>
  <si>
    <t>ComfortZone</t>
  </si>
  <si>
    <t>MS012</t>
  </si>
  <si>
    <t>Menâ€™s Denim Jeans</t>
  </si>
  <si>
    <t>Jeans</t>
  </si>
  <si>
    <t>FitDenim</t>
  </si>
  <si>
    <t>MS013</t>
  </si>
  <si>
    <t>Womenâ€™s Partywear Gown</t>
  </si>
  <si>
    <t>Gowns</t>
  </si>
  <si>
    <t>StyleQueen</t>
  </si>
  <si>
    <t>7â€“9 Days</t>
  </si>
  <si>
    <t>MS014</t>
  </si>
  <si>
    <t>Ceramic Coffee Mug Set</t>
  </si>
  <si>
    <t>MugMasters</t>
  </si>
  <si>
    <t>MS015</t>
  </si>
  <si>
    <t>Digital Kids Wristwatch</t>
  </si>
  <si>
    <t>KidsWorld</t>
  </si>
  <si>
    <t>MS016</t>
  </si>
  <si>
    <t>Womenâ€™s Slippers Flip-Flops</t>
  </si>
  <si>
    <t>Flats</t>
  </si>
  <si>
    <t>SoftSteps</t>
  </si>
  <si>
    <t>MS017</t>
  </si>
  <si>
    <t>Menâ€™s Analog Leather Watch</t>
  </si>
  <si>
    <t>Watches</t>
  </si>
  <si>
    <t>TimeCraft</t>
  </si>
  <si>
    <t>MS018</t>
  </si>
  <si>
    <t>Cotton Double Dohar</t>
  </si>
  <si>
    <t>CozyHome</t>
  </si>
  <si>
    <t>MS019</t>
  </si>
  <si>
    <t>Womenâ€™s Georgette Dupatta</t>
  </si>
  <si>
    <t>Dupattas</t>
  </si>
  <si>
    <t>EthnicStyle</t>
  </si>
  <si>
    <t>MS020</t>
  </si>
  <si>
    <t>Menâ€™s Casual Sneakers</t>
  </si>
  <si>
    <t>Casual Shoes</t>
  </si>
  <si>
    <t>StepUp</t>
  </si>
  <si>
    <t>MS021</t>
  </si>
  <si>
    <t>Baby Soft Cotton Blanket</t>
  </si>
  <si>
    <t>Baby Essentials</t>
  </si>
  <si>
    <t>BabyNest</t>
  </si>
  <si>
    <t>MS022</t>
  </si>
  <si>
    <t>Womenâ€™s Hair Clutcher Pack of 3</t>
  </si>
  <si>
    <t>Beauty</t>
  </si>
  <si>
    <t>BeautyBasics</t>
  </si>
  <si>
    <t>MS023</t>
  </si>
  <si>
    <t>Stainless Steel Lunch Box</t>
  </si>
  <si>
    <t>HomeWare</t>
  </si>
  <si>
    <t>MS024</t>
  </si>
  <si>
    <t>Menâ€™s Polo T-Shirt</t>
  </si>
  <si>
    <t>T-Shirts</t>
  </si>
  <si>
    <t>PoloTrend</t>
  </si>
  <si>
    <t>MS025</t>
  </si>
  <si>
    <t>Womenâ€™s Printed Night Suit</t>
  </si>
  <si>
    <t>Nightwear</t>
  </si>
  <si>
    <t>SleepSoft</t>
  </si>
  <si>
    <t>MS026</t>
  </si>
  <si>
    <t>Kids Learning Writing Board</t>
  </si>
  <si>
    <t>Toys</t>
  </si>
  <si>
    <t>FunLearn</t>
  </si>
  <si>
    <t>MS027</t>
  </si>
  <si>
    <t>Womenâ€™s Stylish Jutti</t>
  </si>
  <si>
    <t>Ethnic</t>
  </si>
  <si>
    <t>JuttiHub</t>
  </si>
  <si>
    <t>MS028</t>
  </si>
  <si>
    <t>Menâ€™s Cotton Trackpants</t>
  </si>
  <si>
    <t>TrackFit</t>
  </si>
  <si>
    <t>MS029</t>
  </si>
  <si>
    <t>Womenâ€™s Designer Necklace Set</t>
  </si>
  <si>
    <t>Necklaces</t>
  </si>
  <si>
    <t>ShineJewels</t>
  </si>
  <si>
    <t>MS030</t>
  </si>
  <si>
    <t>Bathroom Anti-Slip Mat</t>
  </si>
  <si>
    <t>Bath</t>
  </si>
  <si>
    <t>HomeSafety</t>
  </si>
  <si>
    <t>Ready to Grow Faster With Data?</t>
  </si>
  <si>
    <t xml:space="preserve">Get Custom Datasets That Boost Revenue, Optimize Pricing,  </t>
  </si>
  <si>
    <t>and Give You an Unfair Competitor Advantage.</t>
  </si>
  <si>
    <t xml:space="preserve">Contact </t>
  </si>
  <si>
    <t>info@productdatascrape.com</t>
  </si>
  <si>
    <t>Website</t>
  </si>
  <si>
    <t>https://www.productdatascrape.com/</t>
  </si>
  <si>
    <t>WhatsApp</t>
  </si>
  <si>
    <t>+1 424 3777584</t>
  </si>
  <si>
    <t>Women's Rayon Printed Kurti</t>
  </si>
  <si>
    <t>Men's Casual Slim Fit Shirt</t>
  </si>
  <si>
    <t>Men's Fashion</t>
  </si>
  <si>
    <t>Women's Ankle Length Leggings</t>
  </si>
  <si>
    <t>Women's Faux Leather Handbag</t>
  </si>
  <si>
    <t>Men's Running Sports Shoes</t>
  </si>
  <si>
    <t>Women's Oxidised Silver Earrings</t>
  </si>
  <si>
    <t>Men's Denim Jeans</t>
  </si>
  <si>
    <t>Women's Partywear Gown</t>
  </si>
  <si>
    <t>Women's Slippers Flip-Flops</t>
  </si>
  <si>
    <t>Men's Analog Leather Watch</t>
  </si>
  <si>
    <t>Women's Georgette Dupatta</t>
  </si>
  <si>
    <t>Men's Casual Sneakers</t>
  </si>
  <si>
    <t>Women's Hair Clutcher Pack of 3</t>
  </si>
  <si>
    <t>Men's Polo T-Shirt</t>
  </si>
  <si>
    <t>Women's Printed Night Suit</t>
  </si>
  <si>
    <t>Women's Stylish Jutti</t>
  </si>
  <si>
    <t>Men's Cotton Trackpants</t>
  </si>
  <si>
    <t>Women's Designer Necklace Set</t>
  </si>
  <si>
    <t>5-7 Days</t>
  </si>
  <si>
    <t>6-8 Days</t>
  </si>
  <si>
    <t>4-6 Days</t>
  </si>
  <si>
    <t>3-5 Days</t>
  </si>
  <si>
    <t>5-8 Days</t>
  </si>
  <si>
    <t>7-9 Days</t>
  </si>
  <si>
    <t>Min_Delivery_Days</t>
  </si>
  <si>
    <t>Max_Delivery_days</t>
  </si>
  <si>
    <t>Cost_Price</t>
  </si>
  <si>
    <t>Discount_Amount</t>
  </si>
  <si>
    <t>Profit_Per_unit</t>
  </si>
  <si>
    <t>Profit_Margin_%</t>
  </si>
  <si>
    <t>Customer_name</t>
  </si>
  <si>
    <t>Gender</t>
  </si>
  <si>
    <t>City</t>
  </si>
  <si>
    <t>State</t>
  </si>
  <si>
    <t>Customer_Type</t>
  </si>
  <si>
    <t>Rahul Sharma</t>
  </si>
  <si>
    <t>Nithya Jedeja</t>
  </si>
  <si>
    <t>Athul Karma</t>
  </si>
  <si>
    <t>Rohit V S</t>
  </si>
  <si>
    <t>Amal Kumar</t>
  </si>
  <si>
    <t>Arun S</t>
  </si>
  <si>
    <t>Dhanya Vinod</t>
  </si>
  <si>
    <t>Sreesha J</t>
  </si>
  <si>
    <t>Kamal Kumar</t>
  </si>
  <si>
    <t>Hirthya Dev</t>
  </si>
  <si>
    <t>Sharma K J</t>
  </si>
  <si>
    <t>Vithul Dhod</t>
  </si>
  <si>
    <t>Meera Hatt</t>
  </si>
  <si>
    <t>Mural Kathkur</t>
  </si>
  <si>
    <t>Pooja Kapoor</t>
  </si>
  <si>
    <t>Remya S</t>
  </si>
  <si>
    <t>Fidha Fathima</t>
  </si>
  <si>
    <t>Sahal Samir</t>
  </si>
  <si>
    <t>Sharan dev</t>
  </si>
  <si>
    <t xml:space="preserve">Kamaya k </t>
  </si>
  <si>
    <t>Ummir Fiha</t>
  </si>
  <si>
    <t>John David</t>
  </si>
  <si>
    <t>Alen S</t>
  </si>
  <si>
    <t>Aleena Jacob</t>
  </si>
  <si>
    <t>Arunthathy Ram</t>
  </si>
  <si>
    <t>Dona Dhiya</t>
  </si>
  <si>
    <t>Amil Amir</t>
  </si>
  <si>
    <t>Donnet D</t>
  </si>
  <si>
    <t>Riya sabu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</si>
  <si>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</si>
  <si>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</si>
  <si>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</si>
  <si>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</si>
  <si>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</si>
  <si>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</si>
  <si>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</si>
  <si>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</si>
  <si>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</si>
  <si>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</si>
  <si>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</si>
  <si>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</si>
  <si>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</si>
  <si>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</si>
  <si>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</si>
  <si>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</si>
  <si>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</si>
  <si>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</si>
  <si>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</si>
  <si>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</si>
  <si>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</si>
  <si>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</si>
  <si>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</si>
  <si>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</si>
  <si>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</si>
  <si>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</si>
  <si>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</si>
  <si>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</si>
  <si>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</si>
  <si>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</si>
  <si>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Male</t>
  </si>
  <si>
    <t>Female</t>
  </si>
  <si>
    <t>Rohan  Guptha</t>
  </si>
  <si>
    <t>Bangalore</t>
  </si>
  <si>
    <t>Karnataka</t>
  </si>
  <si>
    <t>Chennai</t>
  </si>
  <si>
    <t>Tamil Nadu</t>
  </si>
  <si>
    <t>Hyderabad</t>
  </si>
  <si>
    <t>Telangana</t>
  </si>
  <si>
    <t>Mumbai</t>
  </si>
  <si>
    <t>Maharashtra</t>
  </si>
  <si>
    <t>Delhi</t>
  </si>
  <si>
    <t>Kochi</t>
  </si>
  <si>
    <t>Kerala</t>
  </si>
  <si>
    <t>Order_ID</t>
  </si>
  <si>
    <t>Order_Date</t>
  </si>
  <si>
    <t>Quantity</t>
  </si>
  <si>
    <t>Payment_Mode</t>
  </si>
  <si>
    <t>Order_Status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</si>
  <si>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</si>
  <si>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</si>
  <si>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</si>
  <si>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</si>
  <si>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</si>
  <si>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</si>
  <si>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</si>
  <si>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</si>
  <si>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</si>
  <si>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</si>
  <si>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</si>
  <si>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</si>
  <si>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</si>
  <si>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</si>
  <si>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</si>
  <si>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</si>
  <si>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</si>
  <si>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</si>
  <si>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</si>
  <si>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</si>
  <si>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</si>
  <si>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</si>
  <si>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</si>
  <si>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</si>
  <si>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</si>
  <si>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</si>
  <si>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</si>
  <si>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</si>
  <si>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</si>
  <si>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</si>
  <si>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Promised_Day</t>
  </si>
  <si>
    <t>Actual_Day</t>
  </si>
  <si>
    <t>Delivery_Status</t>
  </si>
  <si>
    <t>Delivered</t>
  </si>
  <si>
    <t>Cancelled</t>
  </si>
  <si>
    <t>Ordered_Date</t>
  </si>
  <si>
    <t>Promised_Delivery_Date</t>
  </si>
  <si>
    <t>Actual_Delivery_date</t>
  </si>
  <si>
    <t>Refund_ID</t>
  </si>
  <si>
    <t>Refund_Date</t>
  </si>
  <si>
    <t>Refund_Reason</t>
  </si>
  <si>
    <t>R001</t>
  </si>
  <si>
    <t>R002</t>
  </si>
  <si>
    <t>R003</t>
  </si>
  <si>
    <t>R004</t>
  </si>
  <si>
    <t>R005</t>
  </si>
  <si>
    <t>R006</t>
  </si>
  <si>
    <t>R007</t>
  </si>
  <si>
    <t>R008</t>
  </si>
  <si>
    <t>R009</t>
  </si>
  <si>
    <t>R010</t>
  </si>
  <si>
    <t>R011</t>
  </si>
  <si>
    <t>R012</t>
  </si>
  <si>
    <t>R013</t>
  </si>
  <si>
    <t>Order_Amount</t>
  </si>
  <si>
    <t>Unit_Selling_Price</t>
  </si>
  <si>
    <t>Order_Revenue</t>
  </si>
  <si>
    <t>Order_Cost</t>
  </si>
  <si>
    <t>Order_Profit</t>
  </si>
  <si>
    <t>Refund_Amount(PARTIAL)</t>
  </si>
  <si>
    <t>UPI</t>
  </si>
  <si>
    <t>CARD</t>
  </si>
  <si>
    <t>COD</t>
  </si>
  <si>
    <t>New</t>
  </si>
  <si>
    <t>Repeat</t>
  </si>
  <si>
    <t>Late Delivery</t>
  </si>
  <si>
    <t>Order Cancelled by Customer</t>
  </si>
  <si>
    <t>Wrong Item Delivered</t>
  </si>
  <si>
    <t>Damaged Product</t>
  </si>
  <si>
    <t>Quality Issue</t>
  </si>
  <si>
    <t>Row Labels</t>
  </si>
  <si>
    <t>Grand Total</t>
  </si>
  <si>
    <t>Sum of Order_Revenue</t>
  </si>
  <si>
    <t>Sum of Refund_Amount(PARTIAL)</t>
  </si>
  <si>
    <t>Late</t>
  </si>
  <si>
    <t>On-Time</t>
  </si>
  <si>
    <t>Count of Order_ID</t>
  </si>
  <si>
    <t>Customer_ID2</t>
  </si>
  <si>
    <t>KPI Name</t>
  </si>
  <si>
    <t>Values</t>
  </si>
  <si>
    <t>Total Revenue</t>
  </si>
  <si>
    <t>Total Refund Amount</t>
  </si>
  <si>
    <t>tbl_Refund[Refund_ID]</t>
  </si>
  <si>
    <t>tbl_Refund[Order_ID]</t>
  </si>
  <si>
    <t>tbl_Refund[Product ID]</t>
  </si>
  <si>
    <t>tbl_Refund[Quantity]</t>
  </si>
  <si>
    <t>tbl_Refund[Order_Date]</t>
  </si>
  <si>
    <t>tbl_Refund[Refund_Date]</t>
  </si>
  <si>
    <t>tbl_Refund[Unit_Selling_Price]</t>
  </si>
  <si>
    <t>tbl_Refund[Order_Amount]</t>
  </si>
  <si>
    <t>tbl_Refund[Refund_Amount(PARTIAL)]</t>
  </si>
  <si>
    <t>tbl_Refund[Refund_Reason]</t>
  </si>
  <si>
    <t>Data returned for Sum of Refund_Amount(PARTIAL) (First 1000 rows).</t>
  </si>
  <si>
    <t>Refund Rate (%)</t>
  </si>
  <si>
    <t>Total Orders</t>
  </si>
  <si>
    <t>tbl_Delivery[Order_ID]</t>
  </si>
  <si>
    <t>tbl_Delivery[Ordered_Date]</t>
  </si>
  <si>
    <t>tbl_Delivery[Promised_Day]</t>
  </si>
  <si>
    <t>tbl_Delivery[Promised_Delivery_Date]</t>
  </si>
  <si>
    <t>tbl_Delivery[Actual_Day]</t>
  </si>
  <si>
    <t>tbl_Delivery[Actual_Delivery_date]</t>
  </si>
  <si>
    <t>tbl_Delivery[Delivery_Status]</t>
  </si>
  <si>
    <t>Data returned for Count of Order_ID (First 1000 rows).</t>
  </si>
  <si>
    <t>On-Time Delivery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</si>
</sst>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medium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0" fillId="0" borderId="10" xfId="0" applyBorder="1"/>
    <xf numFmtId="10" fontId="0" fillId="0" borderId="0" xfId="0" applyNumberFormat="1"/>
    <xf numFmtId="0" fontId="8" fillId="4" borderId="3" xfId="8" applyBorder="1"/>
    <xf numFmtId="14" fontId="0" fillId="0" borderId="0" xfId="0" applyNumberFormat="1"/>
    <xf numFmtId="0" fontId="6" fillId="2" borderId="0" xfId="6"/>
    <xf numFmtId="0" fontId="8" fillId="4" borderId="0" xfId="8"/>
    <xf numFmtId="1" fontId="0" fillId="0" borderId="0" xfId="0" applyNumberFormat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49" fontId="0" fillId="0" borderId="0" xfId="0" applyNumberFormat="1"/>
    <xf numFmtId="49" fontId="0" fillId="33" borderId="12" xfId="0" applyNumberFormat="1" applyFill="1" applyBorder="1"/>
    <xf numFmtId="0" fontId="0" fillId="33" borderId="12" xfId="0" applyFill="1" applyBorder="1"/>
    <xf numFmtId="49" fontId="0" fillId="0" borderId="11" xfId="0" applyNumberFormat="1" applyBorder="1"/>
    <xf numFmtId="0" fontId="0" fillId="0" borderId="11" xfId="0" applyBorder="1"/>
    <xf numFmtId="49" fontId="0" fillId="33" borderId="11" xfId="0" applyNumberFormat="1" applyFill="1" applyBorder="1"/>
    <xf numFmtId="0" fontId="0" fillId="33" borderId="11" xfId="0" applyFill="1" applyBorder="1"/>
    <xf numFmtId="14" fontId="0" fillId="33" borderId="11" xfId="0" applyNumberFormat="1" applyFill="1" applyBorder="1"/>
    <xf numFmtId="14" fontId="0" fillId="0" borderId="11" xfId="0" applyNumberFormat="1" applyBorder="1"/>
    <xf numFmtId="0" fontId="20" fillId="3" borderId="0" xfId="7" applyFont="1" applyBorder="1"/>
    <xf numFmtId="49" fontId="20" fillId="3" borderId="0" xfId="7" applyNumberFormat="1" applyFont="1" applyBorder="1"/>
    <xf numFmtId="0" fontId="19" fillId="4" borderId="0" xfId="8" applyFont="1" applyBorder="1"/>
    <xf numFmtId="0" fontId="16" fillId="0" borderId="0" xfId="0" applyFont="1"/>
    <xf numFmtId="10" fontId="16" fillId="0" borderId="0" xfId="0" applyNumberFormat="1" applyFont="1"/>
    <xf numFmtId="16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6">
    <dxf>
      <numFmt numFmtId="19" formatCode="dd/mm/yyyy"/>
    </dxf>
    <dxf>
      <numFmt numFmtId="19" formatCode="dd/mm/yyyy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  <dxf>
      <numFmt numFmtId="19" formatCode="dd/mm/yyyy"/>
    </dxf>
    <dxf>
      <numFmt numFmtId="19" formatCode="dd/mm/yyyy"/>
    </dxf>
    <dxf>
      <numFmt numFmtId="1" formatCode="0"/>
    </dxf>
    <dxf>
      <numFmt numFmtId="1" formatCode="0"/>
    </dxf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Calibri"/>
        <family val="2"/>
        <scheme val="minor"/>
      </font>
      <fill>
        <patternFill patternType="solid">
          <fgColor indexed="64"/>
          <bgColor rgb="FFFFC7CE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4"/>
          <bgColor rgb="FFFFEB9C"/>
        </patternFill>
      </fill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Revenue Leakage Project using Excel.xlsx]Pivot_Revenue_BY_Category!PivotTable4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Pivot_Revenue_BY_Category!$B$3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Pivot_Revenue_BY_Category!$A$4:$A$12</c:f>
              <c:strCache>
                <c:ptCount val="8"/>
                <c:pt idx="0">
                  <c:v>Accessories</c:v>
                </c:pt>
                <c:pt idx="1">
                  <c:v>Beauty</c:v>
                </c:pt>
                <c:pt idx="2">
                  <c:v>Clothing</c:v>
                </c:pt>
                <c:pt idx="3">
                  <c:v>Footwear</c:v>
                </c:pt>
                <c:pt idx="4">
                  <c:v>Home</c:v>
                </c:pt>
                <c:pt idx="5">
                  <c:v>Jewellery</c:v>
                </c:pt>
                <c:pt idx="6">
                  <c:v>Kids</c:v>
                </c:pt>
                <c:pt idx="7">
                  <c:v>Men's Fashion</c:v>
                </c:pt>
              </c:strCache>
            </c:strRef>
          </c:cat>
          <c:val>
            <c:numRef>
              <c:f>Pivot_Revenue_BY_Category!$B$4:$B$12</c:f>
              <c:numCache>
                <c:formatCode>General</c:formatCode>
                <c:ptCount val="8"/>
                <c:pt idx="0">
                  <c:v>4893</c:v>
                </c:pt>
                <c:pt idx="1">
                  <c:v>99</c:v>
                </c:pt>
                <c:pt idx="2">
                  <c:v>10106</c:v>
                </c:pt>
                <c:pt idx="3">
                  <c:v>6797</c:v>
                </c:pt>
                <c:pt idx="4">
                  <c:v>12421</c:v>
                </c:pt>
                <c:pt idx="5">
                  <c:v>1972</c:v>
                </c:pt>
                <c:pt idx="6">
                  <c:v>6110</c:v>
                </c:pt>
                <c:pt idx="7">
                  <c:v>5888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1E-4AB2-8FCD-B617A24E4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9263712"/>
        <c:axId val="1329265632"/>
      </c:barChart>
      <c:catAx>
        <c:axId val="1329263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9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265632"/>
        <c:crosses val="autoZero"/>
        <c:auto val="1"/>
        <c:lblAlgn val="ctr"/>
        <c:lblOffset val="100"/>
        <c:noMultiLvlLbl val="0"/>
      </c:catAx>
      <c:valAx>
        <c:axId val="1329265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263712"/>
        <c:crosses val="autoZero"/>
        <c:crossBetween val="between"/>
      </c:valAx>
      <c:spPr>
        <a:solidFill>
          <a:schemeClr val="bg1"/>
        </a:solidFill>
        <a:ln>
          <a:solidFill>
            <a:schemeClr val="bg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4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lt1">
          <a:alpha val="90000"/>
        </a:schemeClr>
      </a:solidFill>
      <a:round/>
    </a:ln>
    <a:effectLst/>
  </c:spPr>
  <c:txPr>
    <a:bodyPr/>
    <a:lstStyle/>
    <a:p>
      <a:pPr>
        <a:defRPr baseline="0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Revenue Leakage Project using Excel.xlsx]Ref_Amnt_By_Ref_Rsn_Pivot!PivotTable5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Ref_Amnt_By_Ref_Rsn_Pivot!$B$3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Ref_Amnt_By_Ref_Rsn_Pivot!$A$4:$A$9</c:f>
              <c:strCache>
                <c:ptCount val="5"/>
                <c:pt idx="0">
                  <c:v>Damaged Product</c:v>
                </c:pt>
                <c:pt idx="1">
                  <c:v>Late Delivery</c:v>
                </c:pt>
                <c:pt idx="2">
                  <c:v>Order Cancelled by Customer</c:v>
                </c:pt>
                <c:pt idx="3">
                  <c:v>Quality Issue</c:v>
                </c:pt>
                <c:pt idx="4">
                  <c:v>Wrong Item Delivered</c:v>
                </c:pt>
              </c:strCache>
            </c:strRef>
          </c:cat>
          <c:val>
            <c:numRef>
              <c:f>Ref_Amnt_By_Ref_Rsn_Pivot!$B$4:$B$9</c:f>
              <c:numCache>
                <c:formatCode>General</c:formatCode>
                <c:ptCount val="5"/>
                <c:pt idx="0">
                  <c:v>6384</c:v>
                </c:pt>
                <c:pt idx="1">
                  <c:v>3814.4</c:v>
                </c:pt>
                <c:pt idx="2">
                  <c:v>199.20000000000002</c:v>
                </c:pt>
                <c:pt idx="3">
                  <c:v>1432.8000000000002</c:v>
                </c:pt>
                <c:pt idx="4">
                  <c:v>4869.6000000000004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41-4170-A0B2-DF77F35D7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29266112"/>
        <c:axId val="1329268032"/>
      </c:barChart>
      <c:catAx>
        <c:axId val="1329266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268032"/>
        <c:crosses val="autoZero"/>
        <c:auto val="1"/>
        <c:lblAlgn val="ctr"/>
        <c:lblOffset val="100"/>
        <c:noMultiLvlLbl val="0"/>
      </c:catAx>
      <c:valAx>
        <c:axId val="132926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926611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Revenue Leakage Project using Excel.xlsx]Pivot_On-Site VS Late!PivotTable6</c:name>
    <c:fmtId val="1"/>
  </c:pivotSource>
  <c:chart>
    <c:title>
      <c:layout>
        <c:manualLayout>
          <c:xMode val="edge"/>
          <c:yMode val="edge"/>
          <c:x val="0.45109694372068104"/>
          <c:y val="9.27227523142343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4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0918567334620428"/>
          <c:y val="0.25696831579254598"/>
          <c:w val="0.41278087259809809"/>
          <c:h val="0.65573914032768899"/>
        </c:manualLayout>
      </c:layout>
      <c:doughnutChart>
        <c:varyColors val="1"/>
        <c:ser>
          <c:idx val="0"/>
          <c:order val="0"/>
          <c:tx>
            <c:strRef>
              <c:f>'Pivot_On-Site VS Late'!$B$3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</c:spPr>
          <c:explosion val="12"/>
          <c:dPt>
            <c:idx val="0"/>
            <c:bubble3D val="0"/>
            <c:explosion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77-477D-87D4-60E1C9272779}"/>
              </c:ext>
            </c:extLst>
          </c:dPt>
          <c:dPt>
            <c:idx val="1"/>
            <c:bubble3D val="0"/>
            <c:explosion val="0"/>
            <c:spPr>
              <a:solidFill>
                <a:schemeClr val="accent4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77-477D-87D4-60E1C927277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'Pivot_On-Site VS Late'!$A$4:$A$6</c:f>
              <c:strCache>
                <c:ptCount val="2"/>
                <c:pt idx="0">
                  <c:v>Late</c:v>
                </c:pt>
                <c:pt idx="1">
                  <c:v>On-Time</c:v>
                </c:pt>
              </c:strCache>
            </c:strRef>
          </c:cat>
          <c:val>
            <c:numRef>
              <c:f>'Pivot_On-Site VS Late'!$B$4:$B$6</c:f>
              <c:numCache>
                <c:formatCode>General</c:formatCode>
                <c:ptCount val="2"/>
                <c:pt idx="0">
                  <c:v>6</c:v>
                </c:pt>
                <c:pt idx="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77-477D-87D4-60E1C927277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57692</xdr:colOff>
      <xdr:row>1</xdr:row>
      <xdr:rowOff>0</xdr:rowOff>
    </xdr:from>
    <xdr:to>
      <xdr:col>27</xdr:col>
      <xdr:colOff>528457</xdr:colOff>
      <xdr:row>44</xdr:row>
      <xdr:rowOff>141515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F454180-EA5B-1A44-7C2F-97AC9DCD403A}"/>
            </a:ext>
          </a:extLst>
        </xdr:cNvPr>
        <xdr:cNvSpPr/>
      </xdr:nvSpPr>
      <xdr:spPr>
        <a:xfrm>
          <a:off x="667292" y="185057"/>
          <a:ext cx="16320365" cy="8098972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effectLst>
          <a:outerShdw blurRad="40000" dist="20000" dir="5400000" rotWithShape="0">
            <a:srgbClr val="000000">
              <a:alpha val="38000"/>
            </a:srgbClr>
          </a:outerShdw>
          <a:softEdge rad="63500"/>
        </a:effectLst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144191</xdr:colOff>
      <xdr:row>1</xdr:row>
      <xdr:rowOff>124097</xdr:rowOff>
    </xdr:from>
    <xdr:to>
      <xdr:col>27</xdr:col>
      <xdr:colOff>528457</xdr:colOff>
      <xdr:row>4</xdr:row>
      <xdr:rowOff>0</xdr:rowOff>
    </xdr:to>
    <xdr:sp macro="" textlink="">
      <xdr:nvSpPr>
        <xdr:cNvPr id="4" name="Flowchart: Process 3">
          <a:extLst>
            <a:ext uri="{FF2B5EF4-FFF2-40B4-BE49-F238E27FC236}">
              <a16:creationId xmlns:a16="http://schemas.microsoft.com/office/drawing/2014/main" id="{DEB681C6-3557-3D29-0B84-10ED5ADD74DB}"/>
            </a:ext>
          </a:extLst>
        </xdr:cNvPr>
        <xdr:cNvSpPr/>
      </xdr:nvSpPr>
      <xdr:spPr>
        <a:xfrm>
          <a:off x="753791" y="309154"/>
          <a:ext cx="16233866" cy="431075"/>
        </a:xfrm>
        <a:prstGeom prst="flowChartProcess">
          <a:avLst/>
        </a:prstGeom>
        <a:solidFill>
          <a:schemeClr val="tx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>
              <a:solidFill>
                <a:schemeClr val="tx1"/>
              </a:solidFill>
            </a:rPr>
            <a:t>  </a:t>
          </a:r>
        </a:p>
      </xdr:txBody>
    </xdr:sp>
    <xdr:clientData/>
  </xdr:twoCellAnchor>
  <xdr:oneCellAnchor>
    <xdr:from>
      <xdr:col>8</xdr:col>
      <xdr:colOff>288471</xdr:colOff>
      <xdr:row>1</xdr:row>
      <xdr:rowOff>28304</xdr:rowOff>
    </xdr:from>
    <xdr:ext cx="7026729" cy="57041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20331B7-B686-F96F-A296-21A26448C028}"/>
            </a:ext>
          </a:extLst>
        </xdr:cNvPr>
        <xdr:cNvSpPr txBox="1"/>
      </xdr:nvSpPr>
      <xdr:spPr>
        <a:xfrm>
          <a:off x="5165271" y="213361"/>
          <a:ext cx="7026729" cy="57041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3200" b="1">
              <a:solidFill>
                <a:schemeClr val="accent4">
                  <a:lumMod val="20000"/>
                  <a:lumOff val="80000"/>
                </a:schemeClr>
              </a:solidFill>
              <a:latin typeface="Arial Narrow" panose="020B0606020202030204" pitchFamily="34" charset="0"/>
            </a:rPr>
            <a:t>E-Commerce Revenue</a:t>
          </a:r>
          <a:r>
            <a:rPr lang="en-IN" sz="3200" b="1" baseline="0">
              <a:solidFill>
                <a:schemeClr val="accent4">
                  <a:lumMod val="20000"/>
                  <a:lumOff val="80000"/>
                </a:schemeClr>
              </a:solidFill>
              <a:latin typeface="Arial Narrow" panose="020B0606020202030204" pitchFamily="34" charset="0"/>
            </a:rPr>
            <a:t> Leakage DashBoard</a:t>
          </a:r>
          <a:endParaRPr lang="en-IN" sz="3200" b="1">
            <a:solidFill>
              <a:schemeClr val="accent4">
                <a:lumMod val="20000"/>
                <a:lumOff val="80000"/>
              </a:schemeClr>
            </a:solidFill>
            <a:latin typeface="Arial Narrow" panose="020B0606020202030204" pitchFamily="34" charset="0"/>
          </a:endParaRPr>
        </a:p>
      </xdr:txBody>
    </xdr:sp>
    <xdr:clientData/>
  </xdr:oneCellAnchor>
  <xdr:twoCellAnchor>
    <xdr:from>
      <xdr:col>1</xdr:col>
      <xdr:colOff>326571</xdr:colOff>
      <xdr:row>4</xdr:row>
      <xdr:rowOff>107486</xdr:rowOff>
    </xdr:from>
    <xdr:to>
      <xdr:col>7</xdr:col>
      <xdr:colOff>279771</xdr:colOff>
      <xdr:row>15</xdr:row>
      <xdr:rowOff>73458</xdr:rowOff>
    </xdr:to>
    <xdr:sp macro="" textlink="KPI_Summary!B2">
      <xdr:nvSpPr>
        <xdr:cNvPr id="6" name="Rectangle: Rounded Corners 5">
          <a:extLst>
            <a:ext uri="{FF2B5EF4-FFF2-40B4-BE49-F238E27FC236}">
              <a16:creationId xmlns:a16="http://schemas.microsoft.com/office/drawing/2014/main" id="{AB4C26E6-578A-8A1C-C786-0EA0C70A5C20}"/>
            </a:ext>
          </a:extLst>
        </xdr:cNvPr>
        <xdr:cNvSpPr/>
      </xdr:nvSpPr>
      <xdr:spPr>
        <a:xfrm>
          <a:off x="936171" y="847715"/>
          <a:ext cx="3610800" cy="2001600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bg1"/>
          </a:solidFill>
        </a:ln>
        <a:effectLst>
          <a:glow rad="63500">
            <a:schemeClr val="accent4">
              <a:satMod val="175000"/>
              <a:alpha val="40000"/>
            </a:schemeClr>
          </a:glow>
          <a:outerShdw blurRad="63500" sx="102000" sy="102000" algn="ctr" rotWithShape="0">
            <a:prstClr val="black">
              <a:alpha val="40000"/>
            </a:prstClr>
          </a:outerShdw>
          <a:softEdge rad="12700"/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/>
          <a:endParaRPr lang="en-US" sz="11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/>
          <a:endParaRPr lang="en-US" sz="11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/>
          <a:r>
            <a:rPr lang="en-US" sz="16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              </a:t>
          </a:r>
        </a:p>
        <a:p>
          <a:pPr algn="l"/>
          <a:r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                                      </a:t>
          </a:r>
          <a:fld id="{767E32A9-0293-4F09-A0C9-EADB76106BCA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₹ 48,286.00</a:t>
          </a:fld>
          <a:endParaRPr lang="en-IN" sz="1100"/>
        </a:p>
      </xdr:txBody>
    </xdr:sp>
    <xdr:clientData/>
  </xdr:twoCellAnchor>
  <xdr:twoCellAnchor>
    <xdr:from>
      <xdr:col>8</xdr:col>
      <xdr:colOff>0</xdr:colOff>
      <xdr:row>4</xdr:row>
      <xdr:rowOff>106115</xdr:rowOff>
    </xdr:from>
    <xdr:to>
      <xdr:col>13</xdr:col>
      <xdr:colOff>563880</xdr:colOff>
      <xdr:row>15</xdr:row>
      <xdr:rowOff>73458</xdr:rowOff>
    </xdr:to>
    <xdr:sp macro="" textlink="KPI_Summary!B3">
      <xdr:nvSpPr>
        <xdr:cNvPr id="7" name="Rectangle: Rounded Corners 6">
          <a:extLst>
            <a:ext uri="{FF2B5EF4-FFF2-40B4-BE49-F238E27FC236}">
              <a16:creationId xmlns:a16="http://schemas.microsoft.com/office/drawing/2014/main" id="{0B010F4F-9B24-4466-80A8-3ED43CF70A96}"/>
            </a:ext>
          </a:extLst>
        </xdr:cNvPr>
        <xdr:cNvSpPr/>
      </xdr:nvSpPr>
      <xdr:spPr>
        <a:xfrm>
          <a:off x="4876800" y="846344"/>
          <a:ext cx="3611880" cy="2002971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bg1"/>
          </a:solidFill>
        </a:ln>
        <a:effectLst>
          <a:glow rad="63500">
            <a:schemeClr val="accent4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/>
          <a:endParaRPr lang="en-US" sz="11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/>
          <a:endParaRPr lang="en-US" sz="11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/>
          <a:endParaRPr lang="en-US" sz="11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/>
          <a:r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         </a:t>
          </a:r>
          <a:r>
            <a:rPr lang="en-US" sz="11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                       </a:t>
          </a:r>
        </a:p>
        <a:p>
          <a:pPr algn="l"/>
          <a:r>
            <a:rPr lang="en-US" sz="11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                                      </a:t>
          </a:r>
          <a:fld id="{4C7EF57F-63A8-45C4-9EF2-CE33F2EE6998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₹ 16,700.00</a:t>
          </a:fld>
          <a:endParaRPr lang="en-IN" sz="1100"/>
        </a:p>
      </xdr:txBody>
    </xdr:sp>
    <xdr:clientData/>
  </xdr:twoCellAnchor>
  <xdr:twoCellAnchor>
    <xdr:from>
      <xdr:col>14</xdr:col>
      <xdr:colOff>278657</xdr:colOff>
      <xdr:row>4</xdr:row>
      <xdr:rowOff>108857</xdr:rowOff>
    </xdr:from>
    <xdr:to>
      <xdr:col>20</xdr:col>
      <xdr:colOff>231857</xdr:colOff>
      <xdr:row>15</xdr:row>
      <xdr:rowOff>74829</xdr:rowOff>
    </xdr:to>
    <xdr:sp macro="" textlink="KPI_Summary!B4">
      <xdr:nvSpPr>
        <xdr:cNvPr id="8" name="Rectangle: Rounded Corners 7">
          <a:extLst>
            <a:ext uri="{FF2B5EF4-FFF2-40B4-BE49-F238E27FC236}">
              <a16:creationId xmlns:a16="http://schemas.microsoft.com/office/drawing/2014/main" id="{29266211-161C-484D-A3A1-680F3DF6FC64}"/>
            </a:ext>
          </a:extLst>
        </xdr:cNvPr>
        <xdr:cNvSpPr/>
      </xdr:nvSpPr>
      <xdr:spPr>
        <a:xfrm>
          <a:off x="8813057" y="849086"/>
          <a:ext cx="3610800" cy="2001600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bg1"/>
          </a:solidFill>
        </a:ln>
        <a:effectLst>
          <a:glow rad="63500">
            <a:schemeClr val="accent4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/>
          <a:endParaRPr lang="en-US" sz="11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/>
          <a:endParaRPr lang="en-US" sz="11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/>
          <a:endParaRPr lang="en-US" sz="11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/>
          <a:r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                        </a:t>
          </a:r>
        </a:p>
        <a:p>
          <a:pPr algn="l"/>
          <a:r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                                        </a:t>
          </a:r>
          <a:fld id="{D5448E57-89F8-424C-8D72-6294DCEDD2A2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34.59%</a:t>
          </a:fld>
          <a:r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 </a:t>
          </a:r>
          <a:endParaRPr lang="en-IN" sz="1100"/>
        </a:p>
      </xdr:txBody>
    </xdr:sp>
    <xdr:clientData/>
  </xdr:twoCellAnchor>
  <xdr:twoCellAnchor>
    <xdr:from>
      <xdr:col>21</xdr:col>
      <xdr:colOff>0</xdr:colOff>
      <xdr:row>4</xdr:row>
      <xdr:rowOff>121114</xdr:rowOff>
    </xdr:from>
    <xdr:to>
      <xdr:col>26</xdr:col>
      <xdr:colOff>562800</xdr:colOff>
      <xdr:row>15</xdr:row>
      <xdr:rowOff>87086</xdr:rowOff>
    </xdr:to>
    <xdr:sp macro="" textlink="KPI_Summary!B6">
      <xdr:nvSpPr>
        <xdr:cNvPr id="9" name="Rectangle: Rounded Corners 8">
          <a:extLst>
            <a:ext uri="{FF2B5EF4-FFF2-40B4-BE49-F238E27FC236}">
              <a16:creationId xmlns:a16="http://schemas.microsoft.com/office/drawing/2014/main" id="{6718F9C3-B1F9-4E23-AE1B-3496D0F32E9E}"/>
            </a:ext>
          </a:extLst>
        </xdr:cNvPr>
        <xdr:cNvSpPr/>
      </xdr:nvSpPr>
      <xdr:spPr>
        <a:xfrm>
          <a:off x="12801600" y="861343"/>
          <a:ext cx="3610800" cy="2001600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>
          <a:solidFill>
            <a:schemeClr val="bg1">
              <a:lumMod val="95000"/>
            </a:schemeClr>
          </a:solidFill>
        </a:ln>
        <a:effectLst>
          <a:glow rad="63500">
            <a:schemeClr val="accent4">
              <a:satMod val="175000"/>
              <a:alpha val="40000"/>
            </a:schemeClr>
          </a:glo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/>
          <a:endParaRPr lang="en-US" sz="11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/>
          <a:endParaRPr lang="en-US" sz="1100" b="1" i="0" u="none" strike="noStrike">
            <a:solidFill>
              <a:srgbClr val="000000"/>
            </a:solidFill>
            <a:latin typeface="Calibri"/>
            <a:ea typeface="Calibri"/>
            <a:cs typeface="Calibri"/>
          </a:endParaRPr>
        </a:p>
        <a:p>
          <a:pPr algn="l"/>
          <a:r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                        </a:t>
          </a:r>
        </a:p>
        <a:p>
          <a:pPr algn="l"/>
          <a:r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                          </a:t>
          </a:r>
        </a:p>
        <a:p>
          <a:pPr algn="l"/>
          <a:r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                                                </a:t>
          </a:r>
          <a:fld id="{C32A582F-DCCD-4879-AE32-A571D9F65370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64.71%</a:t>
          </a:fld>
          <a:endParaRPr lang="en-IN" sz="1100"/>
        </a:p>
      </xdr:txBody>
    </xdr:sp>
    <xdr:clientData/>
  </xdr:twoCellAnchor>
  <xdr:twoCellAnchor>
    <xdr:from>
      <xdr:col>2</xdr:col>
      <xdr:colOff>478972</xdr:colOff>
      <xdr:row>6</xdr:row>
      <xdr:rowOff>144862</xdr:rowOff>
    </xdr:from>
    <xdr:to>
      <xdr:col>6</xdr:col>
      <xdr:colOff>250371</xdr:colOff>
      <xdr:row>9</xdr:row>
      <xdr:rowOff>21771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B41B53D3-0123-12C6-20A2-26FBA7E8BE03}"/>
            </a:ext>
          </a:extLst>
        </xdr:cNvPr>
        <xdr:cNvSpPr txBox="1"/>
      </xdr:nvSpPr>
      <xdr:spPr>
        <a:xfrm>
          <a:off x="1698172" y="1255205"/>
          <a:ext cx="2209799" cy="432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tx1"/>
              </a:solidFill>
              <a:latin typeface="Arial Black" panose="020B0A04020102020204" pitchFamily="34" charset="0"/>
            </a:rPr>
            <a:t>Total</a:t>
          </a:r>
          <a:r>
            <a:rPr lang="en-IN" sz="2000" b="1">
              <a:solidFill>
                <a:schemeClr val="accent4">
                  <a:lumMod val="75000"/>
                </a:schemeClr>
              </a:solidFill>
              <a:latin typeface="Arial Black" panose="020B0A04020102020204" pitchFamily="34" charset="0"/>
            </a:rPr>
            <a:t> </a:t>
          </a:r>
          <a:r>
            <a:rPr lang="en-IN" sz="2000" b="1">
              <a:solidFill>
                <a:schemeClr val="tx1"/>
              </a:solidFill>
              <a:latin typeface="Arial Black" panose="020B0A04020102020204" pitchFamily="34" charset="0"/>
            </a:rPr>
            <a:t>Revenue</a:t>
          </a:r>
        </a:p>
      </xdr:txBody>
    </xdr:sp>
    <xdr:clientData/>
  </xdr:twoCellAnchor>
  <xdr:twoCellAnchor>
    <xdr:from>
      <xdr:col>8</xdr:col>
      <xdr:colOff>288471</xdr:colOff>
      <xdr:row>6</xdr:row>
      <xdr:rowOff>123091</xdr:rowOff>
    </xdr:from>
    <xdr:to>
      <xdr:col>15</xdr:col>
      <xdr:colOff>52251</xdr:colOff>
      <xdr:row>8</xdr:row>
      <xdr:rowOff>92612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40F652C-4AD2-198E-CB73-E7575D9707CC}"/>
            </a:ext>
          </a:extLst>
        </xdr:cNvPr>
        <xdr:cNvSpPr txBox="1"/>
      </xdr:nvSpPr>
      <xdr:spPr>
        <a:xfrm>
          <a:off x="5165271" y="1233434"/>
          <a:ext cx="4030980" cy="3396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tx1"/>
              </a:solidFill>
              <a:latin typeface="Arial Black" panose="020B0A04020102020204" pitchFamily="34" charset="0"/>
            </a:rPr>
            <a:t>Total Refund</a:t>
          </a:r>
          <a:r>
            <a:rPr lang="en-IN" sz="2000" b="1" baseline="0">
              <a:solidFill>
                <a:schemeClr val="tx1"/>
              </a:solidFill>
              <a:latin typeface="Arial Black" panose="020B0A04020102020204" pitchFamily="34" charset="0"/>
            </a:rPr>
            <a:t> </a:t>
          </a:r>
          <a:r>
            <a:rPr lang="en-IN" sz="2000" b="1">
              <a:solidFill>
                <a:schemeClr val="tx1"/>
              </a:solidFill>
              <a:latin typeface="Arial Black" panose="020B0A04020102020204" pitchFamily="34" charset="0"/>
            </a:rPr>
            <a:t>Amount</a:t>
          </a:r>
        </a:p>
      </xdr:txBody>
    </xdr:sp>
    <xdr:clientData/>
  </xdr:twoCellAnchor>
  <xdr:twoCellAnchor>
    <xdr:from>
      <xdr:col>16</xdr:col>
      <xdr:colOff>104505</xdr:colOff>
      <xdr:row>6</xdr:row>
      <xdr:rowOff>123091</xdr:rowOff>
    </xdr:from>
    <xdr:to>
      <xdr:col>18</xdr:col>
      <xdr:colOff>493125</xdr:colOff>
      <xdr:row>8</xdr:row>
      <xdr:rowOff>168811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13CE4CD3-E430-E7E6-B146-5D95E9DF11EA}"/>
            </a:ext>
          </a:extLst>
        </xdr:cNvPr>
        <xdr:cNvSpPr txBox="1"/>
      </xdr:nvSpPr>
      <xdr:spPr>
        <a:xfrm>
          <a:off x="9858105" y="1233434"/>
          <a:ext cx="1607820" cy="4158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tx1"/>
              </a:solidFill>
              <a:latin typeface="Arial Black" panose="020B0A04020102020204" pitchFamily="34" charset="0"/>
            </a:rPr>
            <a:t>Refund %</a:t>
          </a:r>
        </a:p>
      </xdr:txBody>
    </xdr:sp>
    <xdr:clientData/>
  </xdr:twoCellAnchor>
  <xdr:twoCellAnchor>
    <xdr:from>
      <xdr:col>21</xdr:col>
      <xdr:colOff>374467</xdr:colOff>
      <xdr:row>6</xdr:row>
      <xdr:rowOff>156753</xdr:rowOff>
    </xdr:from>
    <xdr:to>
      <xdr:col>26</xdr:col>
      <xdr:colOff>326571</xdr:colOff>
      <xdr:row>9</xdr:row>
      <xdr:rowOff>21771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7DA6C37-E8A4-B308-6709-3FCC1B6C9088}"/>
            </a:ext>
          </a:extLst>
        </xdr:cNvPr>
        <xdr:cNvSpPr txBox="1"/>
      </xdr:nvSpPr>
      <xdr:spPr>
        <a:xfrm>
          <a:off x="13176067" y="1267096"/>
          <a:ext cx="3000104" cy="4201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tx1"/>
              </a:solidFill>
              <a:latin typeface="Arial Black" panose="020B0A04020102020204" pitchFamily="34" charset="0"/>
            </a:rPr>
            <a:t>On-Time Delivery %</a:t>
          </a:r>
        </a:p>
      </xdr:txBody>
    </xdr:sp>
    <xdr:clientData/>
  </xdr:twoCellAnchor>
  <xdr:twoCellAnchor>
    <xdr:from>
      <xdr:col>1</xdr:col>
      <xdr:colOff>220977</xdr:colOff>
      <xdr:row>16</xdr:row>
      <xdr:rowOff>147501</xdr:rowOff>
    </xdr:from>
    <xdr:to>
      <xdr:col>9</xdr:col>
      <xdr:colOff>489856</xdr:colOff>
      <xdr:row>34</xdr:row>
      <xdr:rowOff>152402</xdr:rowOff>
    </xdr:to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C82C442F-FFFE-835E-09D8-4A0F6924B2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17</xdr:row>
      <xdr:rowOff>0</xdr:rowOff>
    </xdr:from>
    <xdr:to>
      <xdr:col>27</xdr:col>
      <xdr:colOff>301532</xdr:colOff>
      <xdr:row>35</xdr:row>
      <xdr:rowOff>70214</xdr:rowOff>
    </xdr:to>
    <xdr:graphicFrame macro="">
      <xdr:nvGraphicFramePr>
        <xdr:cNvPr id="15" name="Chart 1">
          <a:extLst>
            <a:ext uri="{FF2B5EF4-FFF2-40B4-BE49-F238E27FC236}">
              <a16:creationId xmlns:a16="http://schemas.microsoft.com/office/drawing/2014/main" id="{BF780145-35AA-5CE9-BBE8-E52269731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23</xdr:row>
      <xdr:rowOff>82189</xdr:rowOff>
    </xdr:from>
    <xdr:to>
      <xdr:col>18</xdr:col>
      <xdr:colOff>457202</xdr:colOff>
      <xdr:row>41</xdr:row>
      <xdr:rowOff>108858</xdr:rowOff>
    </xdr:to>
    <xdr:graphicFrame macro="">
      <xdr:nvGraphicFramePr>
        <xdr:cNvPr id="16" name="Chart 1">
          <a:extLst>
            <a:ext uri="{FF2B5EF4-FFF2-40B4-BE49-F238E27FC236}">
              <a16:creationId xmlns:a16="http://schemas.microsoft.com/office/drawing/2014/main" id="{B2C8128F-00E5-AF92-897B-1998A790B4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JA P S" refreshedDate="46058.605793287039" backgroundQuery="1" createdVersion="8" refreshedVersion="8" minRefreshableVersion="3" recordCount="0" supportSubquery="1" supportAdvancedDrill="1" xr:uid="{291BDA42-EEFB-448D-BA23-68DF9404DA6D}">
  <cacheSource type="external" connectionId="3"/>
  <cacheFields count="2">
    <cacheField name="[tbl_Refund].[Refund_Reason].[Refund_Reason]" caption="Refund_Reason" numFmtId="0" hierarchy="70" level="1">
      <sharedItems count="5">
        <s v="Damaged Product"/>
        <s v="Late Delivery"/>
        <s v="Order Cancelled by Customer"/>
        <s v="Quality Issue"/>
        <s v="Wrong Item Delivered"/>
      </sharedItems>
    </cacheField>
    <cacheField name="[Measures].[Sum of Refund_Amount(PARTIAL)]" caption="Sum of Refund_Amount(PARTIAL)" numFmtId="0" hierarchy="82" level="32767"/>
  </cacheFields>
  <cacheHierarchies count="85">
    <cacheHierarchy uniqueName="[Range].[Customer_ID2]" caption="Customer_ID2" attribute="1" defaultMemberUniqueName="[Range].[Customer_ID2].[All]" allUniqueName="[Range].[Customer_ID2].[All]" dimensionUniqueName="[Range]" displayFolder="" count="0" memberValueDatatype="130" unbalanced="0"/>
    <cacheHierarchy uniqueName="[tbl_Customer].[Customer_ID]" caption="Customer_ID" attribute="1" defaultMemberUniqueName="[tbl_Customer].[Customer_ID].[All]" allUniqueName="[tbl_Customer].[Customer_ID].[All]" dimensionUniqueName="[tbl_Customer]" displayFolder="" count="0" memberValueDatatype="130" unbalanced="0"/>
    <cacheHierarchy uniqueName="[tbl_Customer].[Customer_name]" caption="Customer_name" attribute="1" defaultMemberUniqueName="[tbl_Customer].[Customer_name].[All]" allUniqueName="[tbl_Customer].[Customer_name].[All]" dimensionUniqueName="[tbl_Customer]" displayFolder="" count="0" memberValueDatatype="130" unbalanced="0"/>
    <cacheHierarchy uniqueName="[tbl_Customer].[Gender]" caption="Gender" attribute="1" defaultMemberUniqueName="[tbl_Customer].[Gender].[All]" allUniqueName="[tbl_Customer].[Gender].[All]" dimensionUniqueName="[tbl_Customer]" displayFolder="" count="0" memberValueDatatype="130" unbalanced="0"/>
    <cacheHierarchy uniqueName="[tbl_Customer].[City]" caption="City" attribute="1" defaultMemberUniqueName="[tbl_Customer].[City].[All]" allUniqueName="[tbl_Customer].[City].[All]" dimensionUniqueName="[tbl_Customer]" displayFolder="" count="0" memberValueDatatype="130" unbalanced="0"/>
    <cacheHierarchy uniqueName="[tbl_Customer].[State]" caption="State" attribute="1" defaultMemberUniqueName="[tbl_Customer].[State].[All]" allUniqueName="[tbl_Customer].[State].[All]" dimensionUniqueName="[tbl_Customer]" displayFolder="" count="0" memberValueDatatype="130" unbalanced="0"/>
    <cacheHierarchy uniqueName="[tbl_Customer].[Customer_Type]" caption="Customer_Type" attribute="1" defaultMemberUniqueName="[tbl_Customer].[Customer_Type].[All]" allUniqueName="[tbl_Customer].[Customer_Type].[All]" dimensionUniqueName="[tbl_Customer]" displayFolder="" count="0" memberValueDatatype="130" unbalanced="0"/>
    <cacheHierarchy uniqueName="[tbl_Customer 1].[Customer_ID2]" caption="Customer_ID2" attribute="1" defaultMemberUniqueName="[tbl_Customer 1].[Customer_ID2].[All]" allUniqueName="[tbl_Customer 1].[Customer_ID2].[All]" dimensionUniqueName="[tbl_Customer 1]" displayFolder="" count="0" memberValueDatatype="130" unbalanced="0"/>
    <cacheHierarchy uniqueName="[tbl_Customer 1].[Customer_name]" caption="Customer_name" attribute="1" defaultMemberUniqueName="[tbl_Customer 1].[Customer_name].[All]" allUniqueName="[tbl_Customer 1].[Customer_name].[All]" dimensionUniqueName="[tbl_Customer 1]" displayFolder="" count="0" memberValueDatatype="130" unbalanced="0"/>
    <cacheHierarchy uniqueName="[tbl_Customer 1].[Gender]" caption="Gender" attribute="1" defaultMemberUniqueName="[tbl_Customer 1].[Gender].[All]" allUniqueName="[tbl_Customer 1].[Gender].[All]" dimensionUniqueName="[tbl_Customer 1]" displayFolder="" count="0" memberValueDatatype="130" unbalanced="0"/>
    <cacheHierarchy uniqueName="[tbl_Customer 1].[City]" caption="City" attribute="1" defaultMemberUniqueName="[tbl_Customer 1].[City].[All]" allUniqueName="[tbl_Customer 1].[City].[All]" dimensionUniqueName="[tbl_Customer 1]" displayFolder="" count="0" memberValueDatatype="130" unbalanced="0"/>
    <cacheHierarchy uniqueName="[tbl_Customer 1].[State]" caption="State" attribute="1" defaultMemberUniqueName="[tbl_Customer 1].[State].[All]" allUniqueName="[tbl_Customer 1].[State].[All]" dimensionUniqueName="[tbl_Customer 1]" displayFolder="" count="0" memberValueDatatype="130" unbalanced="0"/>
    <cacheHierarchy uniqueName="[tbl_Customer 1].[Customer_Type]" caption="Customer_Type" attribute="1" defaultMemberUniqueName="[tbl_Customer 1].[Customer_Type].[All]" allUniqueName="[tbl_Customer 1].[Customer_Type].[All]" dimensionUniqueName="[tbl_Customer 1]" displayFolder="" count="0" memberValueDatatype="130" unbalanced="0"/>
    <cacheHierarchy uniqueName="[tbl_Delivery].[Order_ID]" caption="Order_ID" attribute="1" defaultMemberUniqueName="[tbl_Delivery].[Order_ID].[All]" allUniqueName="[tbl_Delivery].[Order_ID].[All]" dimensionUniqueName="[tbl_Delivery]" displayFolder="" count="0" memberValueDatatype="130" unbalanced="0"/>
    <cacheHierarchy uniqueName="[tbl_Delivery].[Ordered_Date]" caption="Ordered_Date" attribute="1" time="1" defaultMemberUniqueName="[tbl_Delivery].[Ordered_Date].[All]" allUniqueName="[tbl_Delivery].[Ordered_Date].[All]" dimensionUniqueName="[tbl_Delivery]" displayFolder="" count="0" memberValueDatatype="7" unbalanced="0"/>
    <cacheHierarchy uniqueName="[tbl_Delivery].[Promised_Day]" caption="Promised_Day" attribute="1" defaultMemberUniqueName="[tbl_Delivery].[Promised_Day].[All]" allUniqueName="[tbl_Delivery].[Promised_Day].[All]" dimensionUniqueName="[tbl_Delivery]" displayFolder="" count="0" memberValueDatatype="20" unbalanced="0"/>
    <cacheHierarchy uniqueName="[tbl_Delivery].[Promised_Delivery_Date]" caption="Promised_Delivery_Date" attribute="1" time="1" defaultMemberUniqueName="[tbl_Delivery].[Promised_Delivery_Date].[All]" allUniqueName="[tbl_Delivery].[Promised_Delivery_Date].[All]" dimensionUniqueName="[tbl_Delivery]" displayFolder="" count="0" memberValueDatatype="7" unbalanced="0"/>
    <cacheHierarchy uniqueName="[tbl_Delivery].[Actual_Day]" caption="Actual_Day" attribute="1" defaultMemberUniqueName="[tbl_Delivery].[Actual_Day].[All]" allUniqueName="[tbl_Delivery].[Actual_Day].[All]" dimensionUniqueName="[tbl_Delivery]" displayFolder="" count="0" memberValueDatatype="20" unbalanced="0"/>
    <cacheHierarchy uniqueName="[tbl_Delivery].[Actual_Delivery_date]" caption="Actual_Delivery_date" attribute="1" time="1" defaultMemberUniqueName="[tbl_Delivery].[Actual_Delivery_date].[All]" allUniqueName="[tbl_Delivery].[Actual_Delivery_date].[All]" dimensionUniqueName="[tbl_Delivery]" displayFolder="" count="0" memberValueDatatype="7" unbalanced="0"/>
    <cacheHierarchy uniqueName="[tbl_Delivery].[Delivery_Status]" caption="Delivery_Status" attribute="1" defaultMemberUniqueName="[tbl_Delivery].[Delivery_Status].[All]" allUniqueName="[tbl_Delivery].[Delivery_Status].[All]" dimensionUniqueName="[tbl_Delivery]" displayFolder="" count="0" memberValueDatatype="130" unbalanced="0"/>
    <cacheHierarchy uniqueName="[tbl_Location].[City]" caption="City" attribute="1" defaultMemberUniqueName="[tbl_Location].[City].[All]" allUniqueName="[tbl_Location].[City].[All]" dimensionUniqueName="[tbl_Location]" displayFolder="" count="0" memberValueDatatype="130" unbalanced="0"/>
    <cacheHierarchy uniqueName="[tbl_Location].[State]" caption="State" attribute="1" defaultMemberUniqueName="[tbl_Location].[State].[All]" allUniqueName="[tbl_Location].[State].[All]" dimensionUniqueName="[tbl_Location]" displayFolder="" count="0" memberValueDatatype="130" unbalanced="0"/>
    <cacheHierarchy uniqueName="[tbl_Orders].[Order_ID]" caption="Order_ID" attribute="1" defaultMemberUniqueName="[tbl_Orders].[Order_ID].[All]" allUniqueName="[tbl_Orders].[Order_ID].[All]" dimensionUniqueName="[tbl_Orders]" displayFolder="" count="0" memberValueDatatype="130" unbalanced="0"/>
    <cacheHierarchy uniqueName="[tbl_Orders].[Order_Date]" caption="Order_Date" attribute="1" time="1" defaultMemberUniqueName="[tbl_Orders].[Order_Date].[All]" allUniqueName="[tbl_Orders].[Order_Date].[All]" dimensionUniqueName="[tbl_Orders]" displayFolder="" count="0" memberValueDatatype="7" unbalanced="0"/>
    <cacheHierarchy uniqueName="[tbl_Orders].[Customer_ID2]" caption="Customer_ID2" attribute="1" defaultMemberUniqueName="[tbl_Orders].[Customer_ID2].[All]" allUniqueName="[tbl_Orders].[Customer_ID2].[All]" dimensionUniqueName="[tbl_Orders]" displayFolder="" count="0" memberValueDatatype="130" unbalanced="0"/>
    <cacheHierarchy uniqueName="[tbl_Orders].[Product ID]" caption="Product ID" attribute="1" defaultMemberUniqueName="[tbl_Orders].[Product ID].[All]" allUniqueName="[tbl_Orders].[Product ID].[All]" dimensionUniqueName="[tbl_Orders]" displayFolder="" count="0" memberValueDatatype="130" unbalanced="0"/>
    <cacheHierarchy uniqueName="[tbl_Orders].[Quantity]" caption="Quantity" attribute="1" defaultMemberUniqueName="[tbl_Orders].[Quantity].[All]" allUniqueName="[tbl_Orders].[Quantity].[All]" dimensionUniqueName="[tbl_Orders]" displayFolder="" count="0" memberValueDatatype="20" unbalanced="0"/>
    <cacheHierarchy uniqueName="[tbl_Orders].[Payment_Mode]" caption="Payment_Mode" attribute="1" defaultMemberUniqueName="[tbl_Orders].[Payment_Mode].[All]" allUniqueName="[tbl_Orders].[Payment_Mode].[All]" dimensionUniqueName="[tbl_Orders]" displayFolder="" count="0" memberValueDatatype="130" unbalanced="0"/>
    <cacheHierarchy uniqueName="[tbl_Orders].[Order_Status]" caption="Order_Status" attribute="1" defaultMemberUniqueName="[tbl_Orders].[Order_Status].[All]" allUniqueName="[tbl_Orders].[Order_Status].[All]" dimensionUniqueName="[tbl_Orders]" displayFolder="" count="0" memberValueDatatype="130" unbalanced="0"/>
    <cacheHierarchy uniqueName="[tbl_Orders].[Unit_Selling_Price]" caption="Unit_Selling_Price" attribute="1" defaultMemberUniqueName="[tbl_Orders].[Unit_Selling_Price].[All]" allUniqueName="[tbl_Orders].[Unit_Selling_Price].[All]" dimensionUniqueName="[tbl_Orders]" displayFolder="" count="0" memberValueDatatype="20" unbalanced="0"/>
    <cacheHierarchy uniqueName="[tbl_Orders].[Order_Revenue]" caption="Order_Revenue" attribute="1" defaultMemberUniqueName="[tbl_Orders].[Order_Revenue].[All]" allUniqueName="[tbl_Orders].[Order_Revenue].[All]" dimensionUniqueName="[tbl_Orders]" displayFolder="" count="0" memberValueDatatype="20" unbalanced="0"/>
    <cacheHierarchy uniqueName="[tbl_Orders].[Order_Cost]" caption="Order_Cost" attribute="1" defaultMemberUniqueName="[tbl_Orders].[Order_Cost].[All]" allUniqueName="[tbl_Orders].[Order_Cost].[All]" dimensionUniqueName="[tbl_Orders]" displayFolder="" count="0" memberValueDatatype="5" unbalanced="0"/>
    <cacheHierarchy uniqueName="[tbl_Orders].[Order_Profit]" caption="Order_Profit" attribute="1" defaultMemberUniqueName="[tbl_Orders].[Order_Profit].[All]" allUniqueName="[tbl_Orders].[Order_Profit].[All]" dimensionUniqueName="[tbl_Orders]" displayFolder="" count="0" memberValueDatatype="5" unbalanced="0"/>
    <cacheHierarchy uniqueName="[tbl_Orders 1].[Order_ID]" caption="Order_ID" attribute="1" defaultMemberUniqueName="[tbl_Orders 1].[Order_ID].[All]" allUniqueName="[tbl_Orders 1].[Order_ID].[All]" dimensionUniqueName="[tbl_Orders 1]" displayFolder="" count="0" memberValueDatatype="130" unbalanced="0"/>
    <cacheHierarchy uniqueName="[tbl_Orders 1].[Order_Date]" caption="Order_Date" attribute="1" time="1" defaultMemberUniqueName="[tbl_Orders 1].[Order_Date].[All]" allUniqueName="[tbl_Orders 1].[Order_Date].[All]" dimensionUniqueName="[tbl_Orders 1]" displayFolder="" count="0" memberValueDatatype="7" unbalanced="0"/>
    <cacheHierarchy uniqueName="[tbl_Orders 1].[Customer_ID2]" caption="Customer_ID2" attribute="1" defaultMemberUniqueName="[tbl_Orders 1].[Customer_ID2].[All]" allUniqueName="[tbl_Orders 1].[Customer_ID2].[All]" dimensionUniqueName="[tbl_Orders 1]" displayFolder="" count="0" memberValueDatatype="130" unbalanced="0"/>
    <cacheHierarchy uniqueName="[tbl_Orders 1].[Product ID]" caption="Product ID" attribute="1" defaultMemberUniqueName="[tbl_Orders 1].[Product ID].[All]" allUniqueName="[tbl_Orders 1].[Product ID].[All]" dimensionUniqueName="[tbl_Orders 1]" displayFolder="" count="0" memberValueDatatype="130" unbalanced="0"/>
    <cacheHierarchy uniqueName="[tbl_Orders 1].[Quantity]" caption="Quantity" attribute="1" defaultMemberUniqueName="[tbl_Orders 1].[Quantity].[All]" allUniqueName="[tbl_Orders 1].[Quantity].[All]" dimensionUniqueName="[tbl_Orders 1]" displayFolder="" count="0" memberValueDatatype="20" unbalanced="0"/>
    <cacheHierarchy uniqueName="[tbl_Orders 1].[Payment_Mode]" caption="Payment_Mode" attribute="1" defaultMemberUniqueName="[tbl_Orders 1].[Payment_Mode].[All]" allUniqueName="[tbl_Orders 1].[Payment_Mode].[All]" dimensionUniqueName="[tbl_Orders 1]" displayFolder="" count="0" memberValueDatatype="130" unbalanced="0"/>
    <cacheHierarchy uniqueName="[tbl_Orders 1].[Order_Status]" caption="Order_Status" attribute="1" defaultMemberUniqueName="[tbl_Orders 1].[Order_Status].[All]" allUniqueName="[tbl_Orders 1].[Order_Status].[All]" dimensionUniqueName="[tbl_Orders 1]" displayFolder="" count="0" memberValueDatatype="130" unbalanced="0"/>
    <cacheHierarchy uniqueName="[tbl_Orders 1].[Unit_Selling_Price]" caption="Unit_Selling_Price" attribute="1" defaultMemberUniqueName="[tbl_Orders 1].[Unit_Selling_Price].[All]" allUniqueName="[tbl_Orders 1].[Unit_Selling_Price].[All]" dimensionUniqueName="[tbl_Orders 1]" displayFolder="" count="0" memberValueDatatype="20" unbalanced="0"/>
    <cacheHierarchy uniqueName="[tbl_Orders 1].[Order_Revenue]" caption="Order_Revenue" attribute="1" defaultMemberUniqueName="[tbl_Orders 1].[Order_Revenue].[All]" allUniqueName="[tbl_Orders 1].[Order_Revenue].[All]" dimensionUniqueName="[tbl_Orders 1]" displayFolder="" count="0" memberValueDatatype="20" unbalanced="0"/>
    <cacheHierarchy uniqueName="[tbl_Orders 1].[Order_Cost]" caption="Order_Cost" attribute="1" defaultMemberUniqueName="[tbl_Orders 1].[Order_Cost].[All]" allUniqueName="[tbl_Orders 1].[Order_Cost].[All]" dimensionUniqueName="[tbl_Orders 1]" displayFolder="" count="0" memberValueDatatype="5" unbalanced="0"/>
    <cacheHierarchy uniqueName="[tbl_Orders 1].[Order_Profit]" caption="Order_Profit" attribute="1" defaultMemberUniqueName="[tbl_Orders 1].[Order_Profit].[All]" allUniqueName="[tbl_Orders 1].[Order_Profit].[All]" dimensionUniqueName="[tbl_Orders 1]" displayFolder="" count="0" memberValueDatatype="5" unbalanced="0"/>
    <cacheHierarchy uniqueName="[tbl_Product].[Product ID]" caption="Product ID" attribute="1" defaultMemberUniqueName="[tbl_Product].[Product ID].[All]" allUniqueName="[tbl_Product].[Product ID].[All]" dimensionUniqueName="[tbl_Product]" displayFolder="" count="0" memberValueDatatype="130" unbalanced="0"/>
    <cacheHierarchy uniqueName="[tbl_Product].[Product Name]" caption="Product Name" attribute="1" defaultMemberUniqueName="[tbl_Product].[Product Name].[All]" allUniqueName="[tbl_Product].[Product Name].[All]" dimensionUniqueName="[tbl_Product]" displayFolder="" count="0" memberValueDatatype="130" unbalanced="0"/>
    <cacheHierarchy uniqueName="[tbl_Product].[Category]" caption="Category" attribute="1" defaultMemberUniqueName="[tbl_Product].[Category].[All]" allUniqueName="[tbl_Product].[Category].[All]" dimensionUniqueName="[tbl_Product]" displayFolder="" count="0" memberValueDatatype="130" unbalanced="0"/>
    <cacheHierarchy uniqueName="[tbl_Product].[Sub-Category]" caption="Sub-Category" attribute="1" defaultMemberUniqueName="[tbl_Product].[Sub-Category].[All]" allUniqueName="[tbl_Product].[Sub-Category].[All]" dimensionUniqueName="[tbl_Product]" displayFolder="" count="0" memberValueDatatype="130" unbalanced="0"/>
    <cacheHierarchy uniqueName="[tbl_Product].[Price]" caption="Price" attribute="1" defaultMemberUniqueName="[tbl_Product].[Price].[All]" allUniqueName="[tbl_Product].[Price].[All]" dimensionUniqueName="[tbl_Product]" displayFolder="" count="0" memberValueDatatype="20" unbalanced="0"/>
    <cacheHierarchy uniqueName="[tbl_Product].[Discount Price]" caption="Discount Price" attribute="1" defaultMemberUniqueName="[tbl_Product].[Discount Price].[All]" allUniqueName="[tbl_Product].[Discount Price].[All]" dimensionUniqueName="[tbl_Product]" displayFolder="" count="0" memberValueDatatype="20" unbalanced="0"/>
    <cacheHierarchy uniqueName="[tbl_Product].[Ratings]" caption="Ratings" attribute="1" defaultMemberUniqueName="[tbl_Product].[Ratings].[All]" allUniqueName="[tbl_Product].[Ratings].[All]" dimensionUniqueName="[tbl_Product]" displayFolder="" count="0" memberValueDatatype="5" unbalanced="0"/>
    <cacheHierarchy uniqueName="[tbl_Product].[Reviews]" caption="Reviews" attribute="1" defaultMemberUniqueName="[tbl_Product].[Reviews].[All]" allUniqueName="[tbl_Product].[Reviews].[All]" dimensionUniqueName="[tbl_Product]" displayFolder="" count="0" memberValueDatatype="20" unbalanced="0"/>
    <cacheHierarchy uniqueName="[tbl_Product].[Seller Name]" caption="Seller Name" attribute="1" defaultMemberUniqueName="[tbl_Product].[Seller Name].[All]" allUniqueName="[tbl_Product].[Seller Name].[All]" dimensionUniqueName="[tbl_Product]" displayFolder="" count="0" memberValueDatatype="130" unbalanced="0"/>
    <cacheHierarchy uniqueName="[tbl_Product].[Min_Delivery_Days]" caption="Min_Delivery_Days" attribute="1" defaultMemberUniqueName="[tbl_Product].[Min_Delivery_Days].[All]" allUniqueName="[tbl_Product].[Min_Delivery_Days].[All]" dimensionUniqueName="[tbl_Product]" displayFolder="" count="0" memberValueDatatype="130" unbalanced="0"/>
    <cacheHierarchy uniqueName="[tbl_Product].[Max_Delivery_days]" caption="Max_Delivery_days" attribute="1" defaultMemberUniqueName="[tbl_Product].[Max_Delivery_days].[All]" allUniqueName="[tbl_Product].[Max_Delivery_days].[All]" dimensionUniqueName="[tbl_Product]" displayFolder="" count="0" memberValueDatatype="130" unbalanced="0"/>
    <cacheHierarchy uniqueName="[tbl_Product].[Cost_Price]" caption="Cost_Price" attribute="1" defaultMemberUniqueName="[tbl_Product].[Cost_Price].[All]" allUniqueName="[tbl_Product].[Cost_Price].[All]" dimensionUniqueName="[tbl_Product]" displayFolder="" count="0" memberValueDatatype="5" unbalanced="0"/>
    <cacheHierarchy uniqueName="[tbl_Product].[Discount_Amount]" caption="Discount_Amount" attribute="1" defaultMemberUniqueName="[tbl_Product].[Discount_Amount].[All]" allUniqueName="[tbl_Product].[Discount_Amount].[All]" dimensionUniqueName="[tbl_Product]" displayFolder="" count="0" memberValueDatatype="20" unbalanced="0"/>
    <cacheHierarchy uniqueName="[tbl_Product].[Profit_Per_unit]" caption="Profit_Per_unit" attribute="1" defaultMemberUniqueName="[tbl_Product].[Profit_Per_unit].[All]" allUniqueName="[tbl_Product].[Profit_Per_unit].[All]" dimensionUniqueName="[tbl_Product]" displayFolder="" count="0" memberValueDatatype="5" unbalanced="0"/>
    <cacheHierarchy uniqueName="[tbl_Product].[Profit_Margin_%]" caption="Profit_Margin_%" attribute="1" defaultMemberUniqueName="[tbl_Product].[Profit_Margin_%].[All]" allUniqueName="[tbl_Product].[Profit_Margin_%].[All]" dimensionUniqueName="[tbl_Product]" displayFolder="" count="0" memberValueDatatype="5" unbalanced="0"/>
    <cacheHierarchy uniqueName="[tbl_Product].[Delivery Time]" caption="Delivery Time" attribute="1" defaultMemberUniqueName="[tbl_Product].[Delivery Time].[All]" allUniqueName="[tbl_Product].[Delivery Time].[All]" dimensionUniqueName="[tbl_Product]" displayFolder="" count="0" memberValueDatatype="130" unbalanced="0"/>
    <cacheHierarchy uniqueName="[tbl_Product].[Availability]" caption="Availability" attribute="1" defaultMemberUniqueName="[tbl_Product].[Availability].[All]" allUniqueName="[tbl_Product].[Availability].[All]" dimensionUniqueName="[tbl_Product]" displayFolder="" count="0" memberValueDatatype="130" unbalanced="0"/>
    <cacheHierarchy uniqueName="[tbl_Refund].[Refund_ID]" caption="Refund_ID" attribute="1" defaultMemberUniqueName="[tbl_Refund].[Refund_ID].[All]" allUniqueName="[tbl_Refund].[Refund_ID].[All]" dimensionUniqueName="[tbl_Refund]" displayFolder="" count="0" memberValueDatatype="130" unbalanced="0"/>
    <cacheHierarchy uniqueName="[tbl_Refund].[Order_ID]" caption="Order_ID" attribute="1" defaultMemberUniqueName="[tbl_Refund].[Order_ID].[All]" allUniqueName="[tbl_Refund].[Order_ID].[All]" dimensionUniqueName="[tbl_Refund]" displayFolder="" count="0" memberValueDatatype="130" unbalanced="0"/>
    <cacheHierarchy uniqueName="[tbl_Refund].[Product ID]" caption="Product ID" attribute="1" defaultMemberUniqueName="[tbl_Refund].[Product ID].[All]" allUniqueName="[tbl_Refund].[Product ID].[All]" dimensionUniqueName="[tbl_Refund]" displayFolder="" count="0" memberValueDatatype="130" unbalanced="0"/>
    <cacheHierarchy uniqueName="[tbl_Refund].[Quantity]" caption="Quantity" attribute="1" defaultMemberUniqueName="[tbl_Refund].[Quantity].[All]" allUniqueName="[tbl_Refund].[Quantity].[All]" dimensionUniqueName="[tbl_Refund]" displayFolder="" count="0" memberValueDatatype="20" unbalanced="0"/>
    <cacheHierarchy uniqueName="[tbl_Refund].[Order_Date]" caption="Order_Date" attribute="1" time="1" defaultMemberUniqueName="[tbl_Refund].[Order_Date].[All]" allUniqueName="[tbl_Refund].[Order_Date].[All]" dimensionUniqueName="[tbl_Refund]" displayFolder="" count="0" memberValueDatatype="7" unbalanced="0"/>
    <cacheHierarchy uniqueName="[tbl_Refund].[Refund_Date]" caption="Refund_Date" attribute="1" time="1" defaultMemberUniqueName="[tbl_Refund].[Refund_Date].[All]" allUniqueName="[tbl_Refund].[Refund_Date].[All]" dimensionUniqueName="[tbl_Refund]" displayFolder="" count="0" memberValueDatatype="7" unbalanced="0"/>
    <cacheHierarchy uniqueName="[tbl_Refund].[Unit_Selling_Price]" caption="Unit_Selling_Price" attribute="1" defaultMemberUniqueName="[tbl_Refund].[Unit_Selling_Price].[All]" allUniqueName="[tbl_Refund].[Unit_Selling_Price].[All]" dimensionUniqueName="[tbl_Refund]" displayFolder="" count="0" memberValueDatatype="20" unbalanced="0"/>
    <cacheHierarchy uniqueName="[tbl_Refund].[Order_Amount]" caption="Order_Amount" attribute="1" defaultMemberUniqueName="[tbl_Refund].[Order_Amount].[All]" allUniqueName="[tbl_Refund].[Order_Amount].[All]" dimensionUniqueName="[tbl_Refund]" displayFolder="" count="0" memberValueDatatype="20" unbalanced="0"/>
    <cacheHierarchy uniqueName="[tbl_Refund].[Refund_Amount(PARTIAL)]" caption="Refund_Amount(PARTIAL)" attribute="1" defaultMemberUniqueName="[tbl_Refund].[Refund_Amount(PARTIAL)].[All]" allUniqueName="[tbl_Refund].[Refund_Amount(PARTIAL)].[All]" dimensionUniqueName="[tbl_Refund]" displayFolder="" count="0" memberValueDatatype="5" unbalanced="0"/>
    <cacheHierarchy uniqueName="[tbl_Refund].[Refund_Reason]" caption="Refund_Reason" attribute="1" defaultMemberUniqueName="[tbl_Refund].[Refund_Reason].[All]" allUniqueName="[tbl_Refund].[Refund_Reason].[All]" dimensionUniqueName="[tbl_Refund]" displayFolder="" count="2" memberValueDatatype="130" unbalanced="0">
      <fieldsUsage count="2">
        <fieldUsage x="-1"/>
        <fieldUsage x="0"/>
      </fieldsUsage>
    </cacheHierarchy>
    <cacheHierarchy uniqueName="[Measures].[__XL_Count tbl_Orders]" caption="__XL_Count tbl_Orders" measure="1" displayFolder="" measureGroup="tbl_Orders" count="0" hidden="1"/>
    <cacheHierarchy uniqueName="[Measures].[__XL_Count tbl_Product]" caption="__XL_Count tbl_Product" measure="1" displayFolder="" measureGroup="tbl_Product" count="0" hidden="1"/>
    <cacheHierarchy uniqueName="[Measures].[__XL_Count tbl_Refund]" caption="__XL_Count tbl_Refund" measure="1" displayFolder="" measureGroup="tbl_Refund" count="0" hidden="1"/>
    <cacheHierarchy uniqueName="[Measures].[__XL_Count tbl_Delivery]" caption="__XL_Count tbl_Delivery" measure="1" displayFolder="" measureGroup="tbl_Delivery" count="0" hidden="1"/>
    <cacheHierarchy uniqueName="[Measures].[__XL_Count tbl_Location]" caption="__XL_Count tbl_Location" measure="1" displayFolder="" measureGroup="tbl_Location" count="0" hidden="1"/>
    <cacheHierarchy uniqueName="[Measures].[__XL_Count tbl_Customer]" caption="__XL_Count tbl_Customer" measure="1" displayFolder="" measureGroup="tbl_Customer" count="0" hidden="1"/>
    <cacheHierarchy uniqueName="[Measures].[__XL_Count Range]" caption="__XL_Count Range" measure="1" displayFolder="" measureGroup="Range" count="0" hidden="1"/>
    <cacheHierarchy uniqueName="[Measures].[__XL_Count tbl_Customer 1]" caption="__XL_Count tbl_Customer 1" measure="1" displayFolder="" measureGroup="tbl_Customer 1" count="0" hidden="1"/>
    <cacheHierarchy uniqueName="[Measures].[__XL_Count tbl_Orders 1]" caption="__XL_Count tbl_Orders 1" measure="1" displayFolder="" measureGroup="tbl_Orders 1" count="0" hidden="1"/>
    <cacheHierarchy uniqueName="[Measures].[__No measures defined]" caption="__No measures defined" measure="1" displayFolder="" count="0" hidden="1"/>
    <cacheHierarchy uniqueName="[Measures].[Sum of Order_Revenue]" caption="Sum of Order_Revenue" measure="1" displayFolder="" measureGroup="tbl_Order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fund_Amount(PARTIAL)]" caption="Sum of Refund_Amount(PARTIAL)" measure="1" displayFolder="" measureGroup="tbl_Refund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Count of Order_ID]" caption="Count of Order_ID" measure="1" displayFolder="" measureGroup="tbl_Delivery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ID 2]" caption="Count of Order_ID 2" measure="1" displayFolder="" measureGroup="tbl_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10">
    <dimension measure="1" name="Measures" uniqueName="[Measures]" caption="Measures"/>
    <dimension name="Range" uniqueName="[Range]" caption="Range"/>
    <dimension name="tbl_Customer" uniqueName="[tbl_Customer]" caption="tbl_Customer"/>
    <dimension name="tbl_Customer 1" uniqueName="[tbl_Customer 1]" caption="tbl_Customer 1"/>
    <dimension name="tbl_Delivery" uniqueName="[tbl_Delivery]" caption="tbl_Delivery"/>
    <dimension name="tbl_Location" uniqueName="[tbl_Location]" caption="tbl_Location"/>
    <dimension name="tbl_Orders" uniqueName="[tbl_Orders]" caption="tbl_Orders"/>
    <dimension name="tbl_Orders 1" uniqueName="[tbl_Orders 1]" caption="tbl_Orders 1"/>
    <dimension name="tbl_Product" uniqueName="[tbl_Product]" caption="tbl_Product"/>
    <dimension name="tbl_Refund" uniqueName="[tbl_Refund]" caption="tbl_Refund"/>
  </dimensions>
  <measureGroups count="9">
    <measureGroup name="Range" caption="Range"/>
    <measureGroup name="tbl_Customer" caption="tbl_Customer"/>
    <measureGroup name="tbl_Customer 1" caption="tbl_Customer 1"/>
    <measureGroup name="tbl_Delivery" caption="tbl_Delivery"/>
    <measureGroup name="tbl_Location" caption="tbl_Location"/>
    <measureGroup name="tbl_Orders" caption="tbl_Orders"/>
    <measureGroup name="tbl_Orders 1" caption="tbl_Orders 1"/>
    <measureGroup name="tbl_Product" caption="tbl_Product"/>
    <measureGroup name="tbl_Refund" caption="tbl_Refund"/>
  </measureGroups>
  <maps count="11">
    <map measureGroup="0" dimension="1"/>
    <map measureGroup="1" dimension="2"/>
    <map measureGroup="2" dimension="3"/>
    <map measureGroup="2" dimension="7"/>
    <map measureGroup="3" dimension="4"/>
    <map measureGroup="4" dimension="5"/>
    <map measureGroup="5" dimension="6"/>
    <map measureGroup="5" dimension="8"/>
    <map measureGroup="6" dimension="7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JA P S" refreshedDate="46058.609972106482" backgroundQuery="1" createdVersion="8" refreshedVersion="8" minRefreshableVersion="3" recordCount="0" supportSubquery="1" supportAdvancedDrill="1" xr:uid="{53B6602F-9961-47C0-8278-CD357E3CEB6D}">
  <cacheSource type="external" connectionId="3"/>
  <cacheFields count="2">
    <cacheField name="[tbl_Delivery].[Delivery_Status].[Delivery_Status]" caption="Delivery_Status" numFmtId="0" hierarchy="19" level="1">
      <sharedItems count="2">
        <s v="Late"/>
        <s v="On-Time"/>
      </sharedItems>
    </cacheField>
    <cacheField name="[Measures].[Count of Order_ID]" caption="Count of Order_ID" numFmtId="0" hierarchy="83" level="32767"/>
  </cacheFields>
  <cacheHierarchies count="85">
    <cacheHierarchy uniqueName="[Range].[Customer_ID2]" caption="Customer_ID2" attribute="1" defaultMemberUniqueName="[Range].[Customer_ID2].[All]" allUniqueName="[Range].[Customer_ID2].[All]" dimensionUniqueName="[Range]" displayFolder="" count="0" memberValueDatatype="130" unbalanced="0"/>
    <cacheHierarchy uniqueName="[tbl_Customer].[Customer_ID]" caption="Customer_ID" attribute="1" defaultMemberUniqueName="[tbl_Customer].[Customer_ID].[All]" allUniqueName="[tbl_Customer].[Customer_ID].[All]" dimensionUniqueName="[tbl_Customer]" displayFolder="" count="0" memberValueDatatype="130" unbalanced="0"/>
    <cacheHierarchy uniqueName="[tbl_Customer].[Customer_name]" caption="Customer_name" attribute="1" defaultMemberUniqueName="[tbl_Customer].[Customer_name].[All]" allUniqueName="[tbl_Customer].[Customer_name].[All]" dimensionUniqueName="[tbl_Customer]" displayFolder="" count="0" memberValueDatatype="130" unbalanced="0"/>
    <cacheHierarchy uniqueName="[tbl_Customer].[Gender]" caption="Gender" attribute="1" defaultMemberUniqueName="[tbl_Customer].[Gender].[All]" allUniqueName="[tbl_Customer].[Gender].[All]" dimensionUniqueName="[tbl_Customer]" displayFolder="" count="0" memberValueDatatype="130" unbalanced="0"/>
    <cacheHierarchy uniqueName="[tbl_Customer].[City]" caption="City" attribute="1" defaultMemberUniqueName="[tbl_Customer].[City].[All]" allUniqueName="[tbl_Customer].[City].[All]" dimensionUniqueName="[tbl_Customer]" displayFolder="" count="0" memberValueDatatype="130" unbalanced="0"/>
    <cacheHierarchy uniqueName="[tbl_Customer].[State]" caption="State" attribute="1" defaultMemberUniqueName="[tbl_Customer].[State].[All]" allUniqueName="[tbl_Customer].[State].[All]" dimensionUniqueName="[tbl_Customer]" displayFolder="" count="0" memberValueDatatype="130" unbalanced="0"/>
    <cacheHierarchy uniqueName="[tbl_Customer].[Customer_Type]" caption="Customer_Type" attribute="1" defaultMemberUniqueName="[tbl_Customer].[Customer_Type].[All]" allUniqueName="[tbl_Customer].[Customer_Type].[All]" dimensionUniqueName="[tbl_Customer]" displayFolder="" count="0" memberValueDatatype="130" unbalanced="0"/>
    <cacheHierarchy uniqueName="[tbl_Customer 1].[Customer_ID2]" caption="Customer_ID2" attribute="1" defaultMemberUniqueName="[tbl_Customer 1].[Customer_ID2].[All]" allUniqueName="[tbl_Customer 1].[Customer_ID2].[All]" dimensionUniqueName="[tbl_Customer 1]" displayFolder="" count="0" memberValueDatatype="130" unbalanced="0"/>
    <cacheHierarchy uniqueName="[tbl_Customer 1].[Customer_name]" caption="Customer_name" attribute="1" defaultMemberUniqueName="[tbl_Customer 1].[Customer_name].[All]" allUniqueName="[tbl_Customer 1].[Customer_name].[All]" dimensionUniqueName="[tbl_Customer 1]" displayFolder="" count="0" memberValueDatatype="130" unbalanced="0"/>
    <cacheHierarchy uniqueName="[tbl_Customer 1].[Gender]" caption="Gender" attribute="1" defaultMemberUniqueName="[tbl_Customer 1].[Gender].[All]" allUniqueName="[tbl_Customer 1].[Gender].[All]" dimensionUniqueName="[tbl_Customer 1]" displayFolder="" count="0" memberValueDatatype="130" unbalanced="0"/>
    <cacheHierarchy uniqueName="[tbl_Customer 1].[City]" caption="City" attribute="1" defaultMemberUniqueName="[tbl_Customer 1].[City].[All]" allUniqueName="[tbl_Customer 1].[City].[All]" dimensionUniqueName="[tbl_Customer 1]" displayFolder="" count="0" memberValueDatatype="130" unbalanced="0"/>
    <cacheHierarchy uniqueName="[tbl_Customer 1].[State]" caption="State" attribute="1" defaultMemberUniqueName="[tbl_Customer 1].[State].[All]" allUniqueName="[tbl_Customer 1].[State].[All]" dimensionUniqueName="[tbl_Customer 1]" displayFolder="" count="0" memberValueDatatype="130" unbalanced="0"/>
    <cacheHierarchy uniqueName="[tbl_Customer 1].[Customer_Type]" caption="Customer_Type" attribute="1" defaultMemberUniqueName="[tbl_Customer 1].[Customer_Type].[All]" allUniqueName="[tbl_Customer 1].[Customer_Type].[All]" dimensionUniqueName="[tbl_Customer 1]" displayFolder="" count="0" memberValueDatatype="130" unbalanced="0"/>
    <cacheHierarchy uniqueName="[tbl_Delivery].[Order_ID]" caption="Order_ID" attribute="1" defaultMemberUniqueName="[tbl_Delivery].[Order_ID].[All]" allUniqueName="[tbl_Delivery].[Order_ID].[All]" dimensionUniqueName="[tbl_Delivery]" displayFolder="" count="0" memberValueDatatype="130" unbalanced="0"/>
    <cacheHierarchy uniqueName="[tbl_Delivery].[Ordered_Date]" caption="Ordered_Date" attribute="1" time="1" defaultMemberUniqueName="[tbl_Delivery].[Ordered_Date].[All]" allUniqueName="[tbl_Delivery].[Ordered_Date].[All]" dimensionUniqueName="[tbl_Delivery]" displayFolder="" count="0" memberValueDatatype="7" unbalanced="0"/>
    <cacheHierarchy uniqueName="[tbl_Delivery].[Promised_Day]" caption="Promised_Day" attribute="1" defaultMemberUniqueName="[tbl_Delivery].[Promised_Day].[All]" allUniqueName="[tbl_Delivery].[Promised_Day].[All]" dimensionUniqueName="[tbl_Delivery]" displayFolder="" count="0" memberValueDatatype="20" unbalanced="0"/>
    <cacheHierarchy uniqueName="[tbl_Delivery].[Promised_Delivery_Date]" caption="Promised_Delivery_Date" attribute="1" time="1" defaultMemberUniqueName="[tbl_Delivery].[Promised_Delivery_Date].[All]" allUniqueName="[tbl_Delivery].[Promised_Delivery_Date].[All]" dimensionUniqueName="[tbl_Delivery]" displayFolder="" count="0" memberValueDatatype="7" unbalanced="0"/>
    <cacheHierarchy uniqueName="[tbl_Delivery].[Actual_Day]" caption="Actual_Day" attribute="1" defaultMemberUniqueName="[tbl_Delivery].[Actual_Day].[All]" allUniqueName="[tbl_Delivery].[Actual_Day].[All]" dimensionUniqueName="[tbl_Delivery]" displayFolder="" count="0" memberValueDatatype="20" unbalanced="0"/>
    <cacheHierarchy uniqueName="[tbl_Delivery].[Actual_Delivery_date]" caption="Actual_Delivery_date" attribute="1" time="1" defaultMemberUniqueName="[tbl_Delivery].[Actual_Delivery_date].[All]" allUniqueName="[tbl_Delivery].[Actual_Delivery_date].[All]" dimensionUniqueName="[tbl_Delivery]" displayFolder="" count="0" memberValueDatatype="7" unbalanced="0"/>
    <cacheHierarchy uniqueName="[tbl_Delivery].[Delivery_Status]" caption="Delivery_Status" attribute="1" defaultMemberUniqueName="[tbl_Delivery].[Delivery_Status].[All]" allUniqueName="[tbl_Delivery].[Delivery_Status].[All]" dimensionUniqueName="[tbl_Delivery]" displayFolder="" count="2" memberValueDatatype="130" unbalanced="0">
      <fieldsUsage count="2">
        <fieldUsage x="-1"/>
        <fieldUsage x="0"/>
      </fieldsUsage>
    </cacheHierarchy>
    <cacheHierarchy uniqueName="[tbl_Location].[City]" caption="City" attribute="1" defaultMemberUniqueName="[tbl_Location].[City].[All]" allUniqueName="[tbl_Location].[City].[All]" dimensionUniqueName="[tbl_Location]" displayFolder="" count="0" memberValueDatatype="130" unbalanced="0"/>
    <cacheHierarchy uniqueName="[tbl_Location].[State]" caption="State" attribute="1" defaultMemberUniqueName="[tbl_Location].[State].[All]" allUniqueName="[tbl_Location].[State].[All]" dimensionUniqueName="[tbl_Location]" displayFolder="" count="0" memberValueDatatype="130" unbalanced="0"/>
    <cacheHierarchy uniqueName="[tbl_Orders].[Order_ID]" caption="Order_ID" attribute="1" defaultMemberUniqueName="[tbl_Orders].[Order_ID].[All]" allUniqueName="[tbl_Orders].[Order_ID].[All]" dimensionUniqueName="[tbl_Orders]" displayFolder="" count="0" memberValueDatatype="130" unbalanced="0"/>
    <cacheHierarchy uniqueName="[tbl_Orders].[Order_Date]" caption="Order_Date" attribute="1" time="1" defaultMemberUniqueName="[tbl_Orders].[Order_Date].[All]" allUniqueName="[tbl_Orders].[Order_Date].[All]" dimensionUniqueName="[tbl_Orders]" displayFolder="" count="0" memberValueDatatype="7" unbalanced="0"/>
    <cacheHierarchy uniqueName="[tbl_Orders].[Customer_ID2]" caption="Customer_ID2" attribute="1" defaultMemberUniqueName="[tbl_Orders].[Customer_ID2].[All]" allUniqueName="[tbl_Orders].[Customer_ID2].[All]" dimensionUniqueName="[tbl_Orders]" displayFolder="" count="0" memberValueDatatype="130" unbalanced="0"/>
    <cacheHierarchy uniqueName="[tbl_Orders].[Product ID]" caption="Product ID" attribute="1" defaultMemberUniqueName="[tbl_Orders].[Product ID].[All]" allUniqueName="[tbl_Orders].[Product ID].[All]" dimensionUniqueName="[tbl_Orders]" displayFolder="" count="0" memberValueDatatype="130" unbalanced="0"/>
    <cacheHierarchy uniqueName="[tbl_Orders].[Quantity]" caption="Quantity" attribute="1" defaultMemberUniqueName="[tbl_Orders].[Quantity].[All]" allUniqueName="[tbl_Orders].[Quantity].[All]" dimensionUniqueName="[tbl_Orders]" displayFolder="" count="0" memberValueDatatype="20" unbalanced="0"/>
    <cacheHierarchy uniqueName="[tbl_Orders].[Payment_Mode]" caption="Payment_Mode" attribute="1" defaultMemberUniqueName="[tbl_Orders].[Payment_Mode].[All]" allUniqueName="[tbl_Orders].[Payment_Mode].[All]" dimensionUniqueName="[tbl_Orders]" displayFolder="" count="0" memberValueDatatype="130" unbalanced="0"/>
    <cacheHierarchy uniqueName="[tbl_Orders].[Order_Status]" caption="Order_Status" attribute="1" defaultMemberUniqueName="[tbl_Orders].[Order_Status].[All]" allUniqueName="[tbl_Orders].[Order_Status].[All]" dimensionUniqueName="[tbl_Orders]" displayFolder="" count="0" memberValueDatatype="130" unbalanced="0"/>
    <cacheHierarchy uniqueName="[tbl_Orders].[Unit_Selling_Price]" caption="Unit_Selling_Price" attribute="1" defaultMemberUniqueName="[tbl_Orders].[Unit_Selling_Price].[All]" allUniqueName="[tbl_Orders].[Unit_Selling_Price].[All]" dimensionUniqueName="[tbl_Orders]" displayFolder="" count="0" memberValueDatatype="20" unbalanced="0"/>
    <cacheHierarchy uniqueName="[tbl_Orders].[Order_Revenue]" caption="Order_Revenue" attribute="1" defaultMemberUniqueName="[tbl_Orders].[Order_Revenue].[All]" allUniqueName="[tbl_Orders].[Order_Revenue].[All]" dimensionUniqueName="[tbl_Orders]" displayFolder="" count="0" memberValueDatatype="20" unbalanced="0"/>
    <cacheHierarchy uniqueName="[tbl_Orders].[Order_Cost]" caption="Order_Cost" attribute="1" defaultMemberUniqueName="[tbl_Orders].[Order_Cost].[All]" allUniqueName="[tbl_Orders].[Order_Cost].[All]" dimensionUniqueName="[tbl_Orders]" displayFolder="" count="0" memberValueDatatype="5" unbalanced="0"/>
    <cacheHierarchy uniqueName="[tbl_Orders].[Order_Profit]" caption="Order_Profit" attribute="1" defaultMemberUniqueName="[tbl_Orders].[Order_Profit].[All]" allUniqueName="[tbl_Orders].[Order_Profit].[All]" dimensionUniqueName="[tbl_Orders]" displayFolder="" count="0" memberValueDatatype="5" unbalanced="0"/>
    <cacheHierarchy uniqueName="[tbl_Orders 1].[Order_ID]" caption="Order_ID" attribute="1" defaultMemberUniqueName="[tbl_Orders 1].[Order_ID].[All]" allUniqueName="[tbl_Orders 1].[Order_ID].[All]" dimensionUniqueName="[tbl_Orders 1]" displayFolder="" count="0" memberValueDatatype="130" unbalanced="0"/>
    <cacheHierarchy uniqueName="[tbl_Orders 1].[Order_Date]" caption="Order_Date" attribute="1" time="1" defaultMemberUniqueName="[tbl_Orders 1].[Order_Date].[All]" allUniqueName="[tbl_Orders 1].[Order_Date].[All]" dimensionUniqueName="[tbl_Orders 1]" displayFolder="" count="0" memberValueDatatype="7" unbalanced="0"/>
    <cacheHierarchy uniqueName="[tbl_Orders 1].[Customer_ID2]" caption="Customer_ID2" attribute="1" defaultMemberUniqueName="[tbl_Orders 1].[Customer_ID2].[All]" allUniqueName="[tbl_Orders 1].[Customer_ID2].[All]" dimensionUniqueName="[tbl_Orders 1]" displayFolder="" count="0" memberValueDatatype="130" unbalanced="0"/>
    <cacheHierarchy uniqueName="[tbl_Orders 1].[Product ID]" caption="Product ID" attribute="1" defaultMemberUniqueName="[tbl_Orders 1].[Product ID].[All]" allUniqueName="[tbl_Orders 1].[Product ID].[All]" dimensionUniqueName="[tbl_Orders 1]" displayFolder="" count="0" memberValueDatatype="130" unbalanced="0"/>
    <cacheHierarchy uniqueName="[tbl_Orders 1].[Quantity]" caption="Quantity" attribute="1" defaultMemberUniqueName="[tbl_Orders 1].[Quantity].[All]" allUniqueName="[tbl_Orders 1].[Quantity].[All]" dimensionUniqueName="[tbl_Orders 1]" displayFolder="" count="0" memberValueDatatype="20" unbalanced="0"/>
    <cacheHierarchy uniqueName="[tbl_Orders 1].[Payment_Mode]" caption="Payment_Mode" attribute="1" defaultMemberUniqueName="[tbl_Orders 1].[Payment_Mode].[All]" allUniqueName="[tbl_Orders 1].[Payment_Mode].[All]" dimensionUniqueName="[tbl_Orders 1]" displayFolder="" count="0" memberValueDatatype="130" unbalanced="0"/>
    <cacheHierarchy uniqueName="[tbl_Orders 1].[Order_Status]" caption="Order_Status" attribute="1" defaultMemberUniqueName="[tbl_Orders 1].[Order_Status].[All]" allUniqueName="[tbl_Orders 1].[Order_Status].[All]" dimensionUniqueName="[tbl_Orders 1]" displayFolder="" count="0" memberValueDatatype="130" unbalanced="0"/>
    <cacheHierarchy uniqueName="[tbl_Orders 1].[Unit_Selling_Price]" caption="Unit_Selling_Price" attribute="1" defaultMemberUniqueName="[tbl_Orders 1].[Unit_Selling_Price].[All]" allUniqueName="[tbl_Orders 1].[Unit_Selling_Price].[All]" dimensionUniqueName="[tbl_Orders 1]" displayFolder="" count="0" memberValueDatatype="20" unbalanced="0"/>
    <cacheHierarchy uniqueName="[tbl_Orders 1].[Order_Revenue]" caption="Order_Revenue" attribute="1" defaultMemberUniqueName="[tbl_Orders 1].[Order_Revenue].[All]" allUniqueName="[tbl_Orders 1].[Order_Revenue].[All]" dimensionUniqueName="[tbl_Orders 1]" displayFolder="" count="0" memberValueDatatype="20" unbalanced="0"/>
    <cacheHierarchy uniqueName="[tbl_Orders 1].[Order_Cost]" caption="Order_Cost" attribute="1" defaultMemberUniqueName="[tbl_Orders 1].[Order_Cost].[All]" allUniqueName="[tbl_Orders 1].[Order_Cost].[All]" dimensionUniqueName="[tbl_Orders 1]" displayFolder="" count="0" memberValueDatatype="5" unbalanced="0"/>
    <cacheHierarchy uniqueName="[tbl_Orders 1].[Order_Profit]" caption="Order_Profit" attribute="1" defaultMemberUniqueName="[tbl_Orders 1].[Order_Profit].[All]" allUniqueName="[tbl_Orders 1].[Order_Profit].[All]" dimensionUniqueName="[tbl_Orders 1]" displayFolder="" count="0" memberValueDatatype="5" unbalanced="0"/>
    <cacheHierarchy uniqueName="[tbl_Product].[Product ID]" caption="Product ID" attribute="1" defaultMemberUniqueName="[tbl_Product].[Product ID].[All]" allUniqueName="[tbl_Product].[Product ID].[All]" dimensionUniqueName="[tbl_Product]" displayFolder="" count="0" memberValueDatatype="130" unbalanced="0"/>
    <cacheHierarchy uniqueName="[tbl_Product].[Product Name]" caption="Product Name" attribute="1" defaultMemberUniqueName="[tbl_Product].[Product Name].[All]" allUniqueName="[tbl_Product].[Product Name].[All]" dimensionUniqueName="[tbl_Product]" displayFolder="" count="0" memberValueDatatype="130" unbalanced="0"/>
    <cacheHierarchy uniqueName="[tbl_Product].[Category]" caption="Category" attribute="1" defaultMemberUniqueName="[tbl_Product].[Category].[All]" allUniqueName="[tbl_Product].[Category].[All]" dimensionUniqueName="[tbl_Product]" displayFolder="" count="0" memberValueDatatype="130" unbalanced="0"/>
    <cacheHierarchy uniqueName="[tbl_Product].[Sub-Category]" caption="Sub-Category" attribute="1" defaultMemberUniqueName="[tbl_Product].[Sub-Category].[All]" allUniqueName="[tbl_Product].[Sub-Category].[All]" dimensionUniqueName="[tbl_Product]" displayFolder="" count="0" memberValueDatatype="130" unbalanced="0"/>
    <cacheHierarchy uniqueName="[tbl_Product].[Price]" caption="Price" attribute="1" defaultMemberUniqueName="[tbl_Product].[Price].[All]" allUniqueName="[tbl_Product].[Price].[All]" dimensionUniqueName="[tbl_Product]" displayFolder="" count="0" memberValueDatatype="20" unbalanced="0"/>
    <cacheHierarchy uniqueName="[tbl_Product].[Discount Price]" caption="Discount Price" attribute="1" defaultMemberUniqueName="[tbl_Product].[Discount Price].[All]" allUniqueName="[tbl_Product].[Discount Price].[All]" dimensionUniqueName="[tbl_Product]" displayFolder="" count="0" memberValueDatatype="20" unbalanced="0"/>
    <cacheHierarchy uniqueName="[tbl_Product].[Ratings]" caption="Ratings" attribute="1" defaultMemberUniqueName="[tbl_Product].[Ratings].[All]" allUniqueName="[tbl_Product].[Ratings].[All]" dimensionUniqueName="[tbl_Product]" displayFolder="" count="0" memberValueDatatype="5" unbalanced="0"/>
    <cacheHierarchy uniqueName="[tbl_Product].[Reviews]" caption="Reviews" attribute="1" defaultMemberUniqueName="[tbl_Product].[Reviews].[All]" allUniqueName="[tbl_Product].[Reviews].[All]" dimensionUniqueName="[tbl_Product]" displayFolder="" count="0" memberValueDatatype="20" unbalanced="0"/>
    <cacheHierarchy uniqueName="[tbl_Product].[Seller Name]" caption="Seller Name" attribute="1" defaultMemberUniqueName="[tbl_Product].[Seller Name].[All]" allUniqueName="[tbl_Product].[Seller Name].[All]" dimensionUniqueName="[tbl_Product]" displayFolder="" count="0" memberValueDatatype="130" unbalanced="0"/>
    <cacheHierarchy uniqueName="[tbl_Product].[Min_Delivery_Days]" caption="Min_Delivery_Days" attribute="1" defaultMemberUniqueName="[tbl_Product].[Min_Delivery_Days].[All]" allUniqueName="[tbl_Product].[Min_Delivery_Days].[All]" dimensionUniqueName="[tbl_Product]" displayFolder="" count="0" memberValueDatatype="130" unbalanced="0"/>
    <cacheHierarchy uniqueName="[tbl_Product].[Max_Delivery_days]" caption="Max_Delivery_days" attribute="1" defaultMemberUniqueName="[tbl_Product].[Max_Delivery_days].[All]" allUniqueName="[tbl_Product].[Max_Delivery_days].[All]" dimensionUniqueName="[tbl_Product]" displayFolder="" count="0" memberValueDatatype="130" unbalanced="0"/>
    <cacheHierarchy uniqueName="[tbl_Product].[Cost_Price]" caption="Cost_Price" attribute="1" defaultMemberUniqueName="[tbl_Product].[Cost_Price].[All]" allUniqueName="[tbl_Product].[Cost_Price].[All]" dimensionUniqueName="[tbl_Product]" displayFolder="" count="0" memberValueDatatype="5" unbalanced="0"/>
    <cacheHierarchy uniqueName="[tbl_Product].[Discount_Amount]" caption="Discount_Amount" attribute="1" defaultMemberUniqueName="[tbl_Product].[Discount_Amount].[All]" allUniqueName="[tbl_Product].[Discount_Amount].[All]" dimensionUniqueName="[tbl_Product]" displayFolder="" count="0" memberValueDatatype="20" unbalanced="0"/>
    <cacheHierarchy uniqueName="[tbl_Product].[Profit_Per_unit]" caption="Profit_Per_unit" attribute="1" defaultMemberUniqueName="[tbl_Product].[Profit_Per_unit].[All]" allUniqueName="[tbl_Product].[Profit_Per_unit].[All]" dimensionUniqueName="[tbl_Product]" displayFolder="" count="0" memberValueDatatype="5" unbalanced="0"/>
    <cacheHierarchy uniqueName="[tbl_Product].[Profit_Margin_%]" caption="Profit_Margin_%" attribute="1" defaultMemberUniqueName="[tbl_Product].[Profit_Margin_%].[All]" allUniqueName="[tbl_Product].[Profit_Margin_%].[All]" dimensionUniqueName="[tbl_Product]" displayFolder="" count="0" memberValueDatatype="5" unbalanced="0"/>
    <cacheHierarchy uniqueName="[tbl_Product].[Delivery Time]" caption="Delivery Time" attribute="1" defaultMemberUniqueName="[tbl_Product].[Delivery Time].[All]" allUniqueName="[tbl_Product].[Delivery Time].[All]" dimensionUniqueName="[tbl_Product]" displayFolder="" count="0" memberValueDatatype="130" unbalanced="0"/>
    <cacheHierarchy uniqueName="[tbl_Product].[Availability]" caption="Availability" attribute="1" defaultMemberUniqueName="[tbl_Product].[Availability].[All]" allUniqueName="[tbl_Product].[Availability].[All]" dimensionUniqueName="[tbl_Product]" displayFolder="" count="0" memberValueDatatype="130" unbalanced="0"/>
    <cacheHierarchy uniqueName="[tbl_Refund].[Refund_ID]" caption="Refund_ID" attribute="1" defaultMemberUniqueName="[tbl_Refund].[Refund_ID].[All]" allUniqueName="[tbl_Refund].[Refund_ID].[All]" dimensionUniqueName="[tbl_Refund]" displayFolder="" count="0" memberValueDatatype="130" unbalanced="0"/>
    <cacheHierarchy uniqueName="[tbl_Refund].[Order_ID]" caption="Order_ID" attribute="1" defaultMemberUniqueName="[tbl_Refund].[Order_ID].[All]" allUniqueName="[tbl_Refund].[Order_ID].[All]" dimensionUniqueName="[tbl_Refund]" displayFolder="" count="0" memberValueDatatype="130" unbalanced="0"/>
    <cacheHierarchy uniqueName="[tbl_Refund].[Product ID]" caption="Product ID" attribute="1" defaultMemberUniqueName="[tbl_Refund].[Product ID].[All]" allUniqueName="[tbl_Refund].[Product ID].[All]" dimensionUniqueName="[tbl_Refund]" displayFolder="" count="0" memberValueDatatype="130" unbalanced="0"/>
    <cacheHierarchy uniqueName="[tbl_Refund].[Quantity]" caption="Quantity" attribute="1" defaultMemberUniqueName="[tbl_Refund].[Quantity].[All]" allUniqueName="[tbl_Refund].[Quantity].[All]" dimensionUniqueName="[tbl_Refund]" displayFolder="" count="0" memberValueDatatype="20" unbalanced="0"/>
    <cacheHierarchy uniqueName="[tbl_Refund].[Order_Date]" caption="Order_Date" attribute="1" time="1" defaultMemberUniqueName="[tbl_Refund].[Order_Date].[All]" allUniqueName="[tbl_Refund].[Order_Date].[All]" dimensionUniqueName="[tbl_Refund]" displayFolder="" count="0" memberValueDatatype="7" unbalanced="0"/>
    <cacheHierarchy uniqueName="[tbl_Refund].[Refund_Date]" caption="Refund_Date" attribute="1" time="1" defaultMemberUniqueName="[tbl_Refund].[Refund_Date].[All]" allUniqueName="[tbl_Refund].[Refund_Date].[All]" dimensionUniqueName="[tbl_Refund]" displayFolder="" count="0" memberValueDatatype="7" unbalanced="0"/>
    <cacheHierarchy uniqueName="[tbl_Refund].[Unit_Selling_Price]" caption="Unit_Selling_Price" attribute="1" defaultMemberUniqueName="[tbl_Refund].[Unit_Selling_Price].[All]" allUniqueName="[tbl_Refund].[Unit_Selling_Price].[All]" dimensionUniqueName="[tbl_Refund]" displayFolder="" count="0" memberValueDatatype="20" unbalanced="0"/>
    <cacheHierarchy uniqueName="[tbl_Refund].[Order_Amount]" caption="Order_Amount" attribute="1" defaultMemberUniqueName="[tbl_Refund].[Order_Amount].[All]" allUniqueName="[tbl_Refund].[Order_Amount].[All]" dimensionUniqueName="[tbl_Refund]" displayFolder="" count="0" memberValueDatatype="20" unbalanced="0"/>
    <cacheHierarchy uniqueName="[tbl_Refund].[Refund_Amount(PARTIAL)]" caption="Refund_Amount(PARTIAL)" attribute="1" defaultMemberUniqueName="[tbl_Refund].[Refund_Amount(PARTIAL)].[All]" allUniqueName="[tbl_Refund].[Refund_Amount(PARTIAL)].[All]" dimensionUniqueName="[tbl_Refund]" displayFolder="" count="0" memberValueDatatype="5" unbalanced="0"/>
    <cacheHierarchy uniqueName="[tbl_Refund].[Refund_Reason]" caption="Refund_Reason" attribute="1" defaultMemberUniqueName="[tbl_Refund].[Refund_Reason].[All]" allUniqueName="[tbl_Refund].[Refund_Reason].[All]" dimensionUniqueName="[tbl_Refund]" displayFolder="" count="0" memberValueDatatype="130" unbalanced="0"/>
    <cacheHierarchy uniqueName="[Measures].[__XL_Count tbl_Orders]" caption="__XL_Count tbl_Orders" measure="1" displayFolder="" measureGroup="tbl_Orders" count="0" hidden="1"/>
    <cacheHierarchy uniqueName="[Measures].[__XL_Count tbl_Product]" caption="__XL_Count tbl_Product" measure="1" displayFolder="" measureGroup="tbl_Product" count="0" hidden="1"/>
    <cacheHierarchy uniqueName="[Measures].[__XL_Count tbl_Refund]" caption="__XL_Count tbl_Refund" measure="1" displayFolder="" measureGroup="tbl_Refund" count="0" hidden="1"/>
    <cacheHierarchy uniqueName="[Measures].[__XL_Count tbl_Delivery]" caption="__XL_Count tbl_Delivery" measure="1" displayFolder="" measureGroup="tbl_Delivery" count="0" hidden="1"/>
    <cacheHierarchy uniqueName="[Measures].[__XL_Count tbl_Location]" caption="__XL_Count tbl_Location" measure="1" displayFolder="" measureGroup="tbl_Location" count="0" hidden="1"/>
    <cacheHierarchy uniqueName="[Measures].[__XL_Count tbl_Customer]" caption="__XL_Count tbl_Customer" measure="1" displayFolder="" measureGroup="tbl_Customer" count="0" hidden="1"/>
    <cacheHierarchy uniqueName="[Measures].[__XL_Count Range]" caption="__XL_Count Range" measure="1" displayFolder="" measureGroup="Range" count="0" hidden="1"/>
    <cacheHierarchy uniqueName="[Measures].[__XL_Count tbl_Customer 1]" caption="__XL_Count tbl_Customer 1" measure="1" displayFolder="" measureGroup="tbl_Customer 1" count="0" hidden="1"/>
    <cacheHierarchy uniqueName="[Measures].[__XL_Count tbl_Orders 1]" caption="__XL_Count tbl_Orders 1" measure="1" displayFolder="" measureGroup="tbl_Orders 1" count="0" hidden="1"/>
    <cacheHierarchy uniqueName="[Measures].[__No measures defined]" caption="__No measures defined" measure="1" displayFolder="" count="0" hidden="1"/>
    <cacheHierarchy uniqueName="[Measures].[Sum of Order_Revenue]" caption="Sum of Order_Revenue" measure="1" displayFolder="" measureGroup="tbl_Orders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fund_Amount(PARTIAL)]" caption="Sum of Refund_Amount(PARTIAL)" measure="1" displayFolder="" measureGroup="tbl_Refund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Count of Order_ID]" caption="Count of Order_ID" measure="1" displayFolder="" measureGroup="tbl_Delivery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ID 2]" caption="Count of Order_ID 2" measure="1" displayFolder="" measureGroup="tbl_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10">
    <dimension measure="1" name="Measures" uniqueName="[Measures]" caption="Measures"/>
    <dimension name="Range" uniqueName="[Range]" caption="Range"/>
    <dimension name="tbl_Customer" uniqueName="[tbl_Customer]" caption="tbl_Customer"/>
    <dimension name="tbl_Customer 1" uniqueName="[tbl_Customer 1]" caption="tbl_Customer 1"/>
    <dimension name="tbl_Delivery" uniqueName="[tbl_Delivery]" caption="tbl_Delivery"/>
    <dimension name="tbl_Location" uniqueName="[tbl_Location]" caption="tbl_Location"/>
    <dimension name="tbl_Orders" uniqueName="[tbl_Orders]" caption="tbl_Orders"/>
    <dimension name="tbl_Orders 1" uniqueName="[tbl_Orders 1]" caption="tbl_Orders 1"/>
    <dimension name="tbl_Product" uniqueName="[tbl_Product]" caption="tbl_Product"/>
    <dimension name="tbl_Refund" uniqueName="[tbl_Refund]" caption="tbl_Refund"/>
  </dimensions>
  <measureGroups count="9">
    <measureGroup name="Range" caption="Range"/>
    <measureGroup name="tbl_Customer" caption="tbl_Customer"/>
    <measureGroup name="tbl_Customer 1" caption="tbl_Customer 1"/>
    <measureGroup name="tbl_Delivery" caption="tbl_Delivery"/>
    <measureGroup name="tbl_Location" caption="tbl_Location"/>
    <measureGroup name="tbl_Orders" caption="tbl_Orders"/>
    <measureGroup name="tbl_Orders 1" caption="tbl_Orders 1"/>
    <measureGroup name="tbl_Product" caption="tbl_Product"/>
    <measureGroup name="tbl_Refund" caption="tbl_Refund"/>
  </measureGroups>
  <maps count="11">
    <map measureGroup="0" dimension="1"/>
    <map measureGroup="1" dimension="2"/>
    <map measureGroup="2" dimension="3"/>
    <map measureGroup="2" dimension="7"/>
    <map measureGroup="3" dimension="4"/>
    <map measureGroup="4" dimension="5"/>
    <map measureGroup="5" dimension="6"/>
    <map measureGroup="5" dimension="8"/>
    <map measureGroup="6" dimension="7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OJA P S" refreshedDate="46059.463745949077" backgroundQuery="1" createdVersion="8" refreshedVersion="8" minRefreshableVersion="3" recordCount="0" supportSubquery="1" supportAdvancedDrill="1" xr:uid="{6950E5ED-0F8D-481E-BDBD-0B6F238218E2}">
  <cacheSource type="external" connectionId="3"/>
  <cacheFields count="2">
    <cacheField name="[tbl_Product].[Category].[Category]" caption="Category" numFmtId="0" hierarchy="46" level="1">
      <sharedItems count="8">
        <s v="Accessories"/>
        <s v="Beauty"/>
        <s v="Clothing"/>
        <s v="Footwear"/>
        <s v="Home"/>
        <s v="Jewellery"/>
        <s v="Kids"/>
        <s v="Men's Fashion"/>
      </sharedItems>
    </cacheField>
    <cacheField name="[Measures].[Sum of Order_Revenue]" caption="Sum of Order_Revenue" numFmtId="0" hierarchy="81" level="32767"/>
  </cacheFields>
  <cacheHierarchies count="85">
    <cacheHierarchy uniqueName="[Range].[Customer_ID2]" caption="Customer_ID2" attribute="1" defaultMemberUniqueName="[Range].[Customer_ID2].[All]" allUniqueName="[Range].[Customer_ID2].[All]" dimensionUniqueName="[Range]" displayFolder="" count="0" memberValueDatatype="130" unbalanced="0"/>
    <cacheHierarchy uniqueName="[tbl_Customer].[Customer_ID]" caption="Customer_ID" attribute="1" defaultMemberUniqueName="[tbl_Customer].[Customer_ID].[All]" allUniqueName="[tbl_Customer].[Customer_ID].[All]" dimensionUniqueName="[tbl_Customer]" displayFolder="" count="0" memberValueDatatype="130" unbalanced="0"/>
    <cacheHierarchy uniqueName="[tbl_Customer].[Customer_name]" caption="Customer_name" attribute="1" defaultMemberUniqueName="[tbl_Customer].[Customer_name].[All]" allUniqueName="[tbl_Customer].[Customer_name].[All]" dimensionUniqueName="[tbl_Customer]" displayFolder="" count="0" memberValueDatatype="130" unbalanced="0"/>
    <cacheHierarchy uniqueName="[tbl_Customer].[Gender]" caption="Gender" attribute="1" defaultMemberUniqueName="[tbl_Customer].[Gender].[All]" allUniqueName="[tbl_Customer].[Gender].[All]" dimensionUniqueName="[tbl_Customer]" displayFolder="" count="0" memberValueDatatype="130" unbalanced="0"/>
    <cacheHierarchy uniqueName="[tbl_Customer].[City]" caption="City" attribute="1" defaultMemberUniqueName="[tbl_Customer].[City].[All]" allUniqueName="[tbl_Customer].[City].[All]" dimensionUniqueName="[tbl_Customer]" displayFolder="" count="0" memberValueDatatype="130" unbalanced="0"/>
    <cacheHierarchy uniqueName="[tbl_Customer].[State]" caption="State" attribute="1" defaultMemberUniqueName="[tbl_Customer].[State].[All]" allUniqueName="[tbl_Customer].[State].[All]" dimensionUniqueName="[tbl_Customer]" displayFolder="" count="0" memberValueDatatype="130" unbalanced="0"/>
    <cacheHierarchy uniqueName="[tbl_Customer].[Customer_Type]" caption="Customer_Type" attribute="1" defaultMemberUniqueName="[tbl_Customer].[Customer_Type].[All]" allUniqueName="[tbl_Customer].[Customer_Type].[All]" dimensionUniqueName="[tbl_Customer]" displayFolder="" count="0" memberValueDatatype="130" unbalanced="0"/>
    <cacheHierarchy uniqueName="[tbl_Customer 1].[Customer_ID2]" caption="Customer_ID2" attribute="1" defaultMemberUniqueName="[tbl_Customer 1].[Customer_ID2].[All]" allUniqueName="[tbl_Customer 1].[Customer_ID2].[All]" dimensionUniqueName="[tbl_Customer 1]" displayFolder="" count="0" memberValueDatatype="130" unbalanced="0"/>
    <cacheHierarchy uniqueName="[tbl_Customer 1].[Customer_name]" caption="Customer_name" attribute="1" defaultMemberUniqueName="[tbl_Customer 1].[Customer_name].[All]" allUniqueName="[tbl_Customer 1].[Customer_name].[All]" dimensionUniqueName="[tbl_Customer 1]" displayFolder="" count="0" memberValueDatatype="130" unbalanced="0"/>
    <cacheHierarchy uniqueName="[tbl_Customer 1].[Gender]" caption="Gender" attribute="1" defaultMemberUniqueName="[tbl_Customer 1].[Gender].[All]" allUniqueName="[tbl_Customer 1].[Gender].[All]" dimensionUniqueName="[tbl_Customer 1]" displayFolder="" count="0" memberValueDatatype="130" unbalanced="0"/>
    <cacheHierarchy uniqueName="[tbl_Customer 1].[City]" caption="City" attribute="1" defaultMemberUniqueName="[tbl_Customer 1].[City].[All]" allUniqueName="[tbl_Customer 1].[City].[All]" dimensionUniqueName="[tbl_Customer 1]" displayFolder="" count="0" memberValueDatatype="130" unbalanced="0"/>
    <cacheHierarchy uniqueName="[tbl_Customer 1].[State]" caption="State" attribute="1" defaultMemberUniqueName="[tbl_Customer 1].[State].[All]" allUniqueName="[tbl_Customer 1].[State].[All]" dimensionUniqueName="[tbl_Customer 1]" displayFolder="" count="0" memberValueDatatype="130" unbalanced="0"/>
    <cacheHierarchy uniqueName="[tbl_Customer 1].[Customer_Type]" caption="Customer_Type" attribute="1" defaultMemberUniqueName="[tbl_Customer 1].[Customer_Type].[All]" allUniqueName="[tbl_Customer 1].[Customer_Type].[All]" dimensionUniqueName="[tbl_Customer 1]" displayFolder="" count="0" memberValueDatatype="130" unbalanced="0"/>
    <cacheHierarchy uniqueName="[tbl_Delivery].[Order_ID]" caption="Order_ID" attribute="1" defaultMemberUniqueName="[tbl_Delivery].[Order_ID].[All]" allUniqueName="[tbl_Delivery].[Order_ID].[All]" dimensionUniqueName="[tbl_Delivery]" displayFolder="" count="0" memberValueDatatype="130" unbalanced="0"/>
    <cacheHierarchy uniqueName="[tbl_Delivery].[Ordered_Date]" caption="Ordered_Date" attribute="1" time="1" defaultMemberUniqueName="[tbl_Delivery].[Ordered_Date].[All]" allUniqueName="[tbl_Delivery].[Ordered_Date].[All]" dimensionUniqueName="[tbl_Delivery]" displayFolder="" count="0" memberValueDatatype="7" unbalanced="0"/>
    <cacheHierarchy uniqueName="[tbl_Delivery].[Promised_Day]" caption="Promised_Day" attribute="1" defaultMemberUniqueName="[tbl_Delivery].[Promised_Day].[All]" allUniqueName="[tbl_Delivery].[Promised_Day].[All]" dimensionUniqueName="[tbl_Delivery]" displayFolder="" count="0" memberValueDatatype="20" unbalanced="0"/>
    <cacheHierarchy uniqueName="[tbl_Delivery].[Promised_Delivery_Date]" caption="Promised_Delivery_Date" attribute="1" time="1" defaultMemberUniqueName="[tbl_Delivery].[Promised_Delivery_Date].[All]" allUniqueName="[tbl_Delivery].[Promised_Delivery_Date].[All]" dimensionUniqueName="[tbl_Delivery]" displayFolder="" count="0" memberValueDatatype="7" unbalanced="0"/>
    <cacheHierarchy uniqueName="[tbl_Delivery].[Actual_Day]" caption="Actual_Day" attribute="1" defaultMemberUniqueName="[tbl_Delivery].[Actual_Day].[All]" allUniqueName="[tbl_Delivery].[Actual_Day].[All]" dimensionUniqueName="[tbl_Delivery]" displayFolder="" count="0" memberValueDatatype="20" unbalanced="0"/>
    <cacheHierarchy uniqueName="[tbl_Delivery].[Actual_Delivery_date]" caption="Actual_Delivery_date" attribute="1" time="1" defaultMemberUniqueName="[tbl_Delivery].[Actual_Delivery_date].[All]" allUniqueName="[tbl_Delivery].[Actual_Delivery_date].[All]" dimensionUniqueName="[tbl_Delivery]" displayFolder="" count="0" memberValueDatatype="7" unbalanced="0"/>
    <cacheHierarchy uniqueName="[tbl_Delivery].[Delivery_Status]" caption="Delivery_Status" attribute="1" defaultMemberUniqueName="[tbl_Delivery].[Delivery_Status].[All]" allUniqueName="[tbl_Delivery].[Delivery_Status].[All]" dimensionUniqueName="[tbl_Delivery]" displayFolder="" count="0" memberValueDatatype="130" unbalanced="0"/>
    <cacheHierarchy uniqueName="[tbl_Location].[City]" caption="City" attribute="1" defaultMemberUniqueName="[tbl_Location].[City].[All]" allUniqueName="[tbl_Location].[City].[All]" dimensionUniqueName="[tbl_Location]" displayFolder="" count="0" memberValueDatatype="130" unbalanced="0"/>
    <cacheHierarchy uniqueName="[tbl_Location].[State]" caption="State" attribute="1" defaultMemberUniqueName="[tbl_Location].[State].[All]" allUniqueName="[tbl_Location].[State].[All]" dimensionUniqueName="[tbl_Location]" displayFolder="" count="0" memberValueDatatype="130" unbalanced="0"/>
    <cacheHierarchy uniqueName="[tbl_Orders].[Order_ID]" caption="Order_ID" attribute="1" defaultMemberUniqueName="[tbl_Orders].[Order_ID].[All]" allUniqueName="[tbl_Orders].[Order_ID].[All]" dimensionUniqueName="[tbl_Orders]" displayFolder="" count="0" memberValueDatatype="130" unbalanced="0"/>
    <cacheHierarchy uniqueName="[tbl_Orders].[Order_Date]" caption="Order_Date" attribute="1" time="1" defaultMemberUniqueName="[tbl_Orders].[Order_Date].[All]" allUniqueName="[tbl_Orders].[Order_Date].[All]" dimensionUniqueName="[tbl_Orders]" displayFolder="" count="0" memberValueDatatype="7" unbalanced="0"/>
    <cacheHierarchy uniqueName="[tbl_Orders].[Customer_ID2]" caption="Customer_ID2" attribute="1" defaultMemberUniqueName="[tbl_Orders].[Customer_ID2].[All]" allUniqueName="[tbl_Orders].[Customer_ID2].[All]" dimensionUniqueName="[tbl_Orders]" displayFolder="" count="0" memberValueDatatype="130" unbalanced="0"/>
    <cacheHierarchy uniqueName="[tbl_Orders].[Product ID]" caption="Product ID" attribute="1" defaultMemberUniqueName="[tbl_Orders].[Product ID].[All]" allUniqueName="[tbl_Orders].[Product ID].[All]" dimensionUniqueName="[tbl_Orders]" displayFolder="" count="0" memberValueDatatype="130" unbalanced="0"/>
    <cacheHierarchy uniqueName="[tbl_Orders].[Quantity]" caption="Quantity" attribute="1" defaultMemberUniqueName="[tbl_Orders].[Quantity].[All]" allUniqueName="[tbl_Orders].[Quantity].[All]" dimensionUniqueName="[tbl_Orders]" displayFolder="" count="0" memberValueDatatype="20" unbalanced="0"/>
    <cacheHierarchy uniqueName="[tbl_Orders].[Payment_Mode]" caption="Payment_Mode" attribute="1" defaultMemberUniqueName="[tbl_Orders].[Payment_Mode].[All]" allUniqueName="[tbl_Orders].[Payment_Mode].[All]" dimensionUniqueName="[tbl_Orders]" displayFolder="" count="0" memberValueDatatype="130" unbalanced="0"/>
    <cacheHierarchy uniqueName="[tbl_Orders].[Order_Status]" caption="Order_Status" attribute="1" defaultMemberUniqueName="[tbl_Orders].[Order_Status].[All]" allUniqueName="[tbl_Orders].[Order_Status].[All]" dimensionUniqueName="[tbl_Orders]" displayFolder="" count="0" memberValueDatatype="130" unbalanced="0"/>
    <cacheHierarchy uniqueName="[tbl_Orders].[Unit_Selling_Price]" caption="Unit_Selling_Price" attribute="1" defaultMemberUniqueName="[tbl_Orders].[Unit_Selling_Price].[All]" allUniqueName="[tbl_Orders].[Unit_Selling_Price].[All]" dimensionUniqueName="[tbl_Orders]" displayFolder="" count="0" memberValueDatatype="20" unbalanced="0"/>
    <cacheHierarchy uniqueName="[tbl_Orders].[Order_Revenue]" caption="Order_Revenue" attribute="1" defaultMemberUniqueName="[tbl_Orders].[Order_Revenue].[All]" allUniqueName="[tbl_Orders].[Order_Revenue].[All]" dimensionUniqueName="[tbl_Orders]" displayFolder="" count="0" memberValueDatatype="20" unbalanced="0"/>
    <cacheHierarchy uniqueName="[tbl_Orders].[Order_Cost]" caption="Order_Cost" attribute="1" defaultMemberUniqueName="[tbl_Orders].[Order_Cost].[All]" allUniqueName="[tbl_Orders].[Order_Cost].[All]" dimensionUniqueName="[tbl_Orders]" displayFolder="" count="0" memberValueDatatype="5" unbalanced="0"/>
    <cacheHierarchy uniqueName="[tbl_Orders].[Order_Profit]" caption="Order_Profit" attribute="1" defaultMemberUniqueName="[tbl_Orders].[Order_Profit].[All]" allUniqueName="[tbl_Orders].[Order_Profit].[All]" dimensionUniqueName="[tbl_Orders]" displayFolder="" count="0" memberValueDatatype="5" unbalanced="0"/>
    <cacheHierarchy uniqueName="[tbl_Orders 1].[Order_ID]" caption="Order_ID" attribute="1" defaultMemberUniqueName="[tbl_Orders 1].[Order_ID].[All]" allUniqueName="[tbl_Orders 1].[Order_ID].[All]" dimensionUniqueName="[tbl_Orders 1]" displayFolder="" count="0" memberValueDatatype="130" unbalanced="0"/>
    <cacheHierarchy uniqueName="[tbl_Orders 1].[Order_Date]" caption="Order_Date" attribute="1" time="1" defaultMemberUniqueName="[tbl_Orders 1].[Order_Date].[All]" allUniqueName="[tbl_Orders 1].[Order_Date].[All]" dimensionUniqueName="[tbl_Orders 1]" displayFolder="" count="0" memberValueDatatype="7" unbalanced="0"/>
    <cacheHierarchy uniqueName="[tbl_Orders 1].[Customer_ID2]" caption="Customer_ID2" attribute="1" defaultMemberUniqueName="[tbl_Orders 1].[Customer_ID2].[All]" allUniqueName="[tbl_Orders 1].[Customer_ID2].[All]" dimensionUniqueName="[tbl_Orders 1]" displayFolder="" count="0" memberValueDatatype="130" unbalanced="0"/>
    <cacheHierarchy uniqueName="[tbl_Orders 1].[Product ID]" caption="Product ID" attribute="1" defaultMemberUniqueName="[tbl_Orders 1].[Product ID].[All]" allUniqueName="[tbl_Orders 1].[Product ID].[All]" dimensionUniqueName="[tbl_Orders 1]" displayFolder="" count="0" memberValueDatatype="130" unbalanced="0"/>
    <cacheHierarchy uniqueName="[tbl_Orders 1].[Quantity]" caption="Quantity" attribute="1" defaultMemberUniqueName="[tbl_Orders 1].[Quantity].[All]" allUniqueName="[tbl_Orders 1].[Quantity].[All]" dimensionUniqueName="[tbl_Orders 1]" displayFolder="" count="0" memberValueDatatype="20" unbalanced="0"/>
    <cacheHierarchy uniqueName="[tbl_Orders 1].[Payment_Mode]" caption="Payment_Mode" attribute="1" defaultMemberUniqueName="[tbl_Orders 1].[Payment_Mode].[All]" allUniqueName="[tbl_Orders 1].[Payment_Mode].[All]" dimensionUniqueName="[tbl_Orders 1]" displayFolder="" count="0" memberValueDatatype="130" unbalanced="0"/>
    <cacheHierarchy uniqueName="[tbl_Orders 1].[Order_Status]" caption="Order_Status" attribute="1" defaultMemberUniqueName="[tbl_Orders 1].[Order_Status].[All]" allUniqueName="[tbl_Orders 1].[Order_Status].[All]" dimensionUniqueName="[tbl_Orders 1]" displayFolder="" count="0" memberValueDatatype="130" unbalanced="0"/>
    <cacheHierarchy uniqueName="[tbl_Orders 1].[Unit_Selling_Price]" caption="Unit_Selling_Price" attribute="1" defaultMemberUniqueName="[tbl_Orders 1].[Unit_Selling_Price].[All]" allUniqueName="[tbl_Orders 1].[Unit_Selling_Price].[All]" dimensionUniqueName="[tbl_Orders 1]" displayFolder="" count="0" memberValueDatatype="20" unbalanced="0"/>
    <cacheHierarchy uniqueName="[tbl_Orders 1].[Order_Revenue]" caption="Order_Revenue" attribute="1" defaultMemberUniqueName="[tbl_Orders 1].[Order_Revenue].[All]" allUniqueName="[tbl_Orders 1].[Order_Revenue].[All]" dimensionUniqueName="[tbl_Orders 1]" displayFolder="" count="0" memberValueDatatype="20" unbalanced="0"/>
    <cacheHierarchy uniqueName="[tbl_Orders 1].[Order_Cost]" caption="Order_Cost" attribute="1" defaultMemberUniqueName="[tbl_Orders 1].[Order_Cost].[All]" allUniqueName="[tbl_Orders 1].[Order_Cost].[All]" dimensionUniqueName="[tbl_Orders 1]" displayFolder="" count="0" memberValueDatatype="5" unbalanced="0"/>
    <cacheHierarchy uniqueName="[tbl_Orders 1].[Order_Profit]" caption="Order_Profit" attribute="1" defaultMemberUniqueName="[tbl_Orders 1].[Order_Profit].[All]" allUniqueName="[tbl_Orders 1].[Order_Profit].[All]" dimensionUniqueName="[tbl_Orders 1]" displayFolder="" count="0" memberValueDatatype="5" unbalanced="0"/>
    <cacheHierarchy uniqueName="[tbl_Product].[Product ID]" caption="Product ID" attribute="1" defaultMemberUniqueName="[tbl_Product].[Product ID].[All]" allUniqueName="[tbl_Product].[Product ID].[All]" dimensionUniqueName="[tbl_Product]" displayFolder="" count="0" memberValueDatatype="130" unbalanced="0"/>
    <cacheHierarchy uniqueName="[tbl_Product].[Product Name]" caption="Product Name" attribute="1" defaultMemberUniqueName="[tbl_Product].[Product Name].[All]" allUniqueName="[tbl_Product].[Product Name].[All]" dimensionUniqueName="[tbl_Product]" displayFolder="" count="0" memberValueDatatype="130" unbalanced="0"/>
    <cacheHierarchy uniqueName="[tbl_Product].[Category]" caption="Category" attribute="1" defaultMemberUniqueName="[tbl_Product].[Category].[All]" allUniqueName="[tbl_Product].[Category].[All]" dimensionUniqueName="[tbl_Product]" displayFolder="" count="2" memberValueDatatype="130" unbalanced="0">
      <fieldsUsage count="2">
        <fieldUsage x="-1"/>
        <fieldUsage x="0"/>
      </fieldsUsage>
    </cacheHierarchy>
    <cacheHierarchy uniqueName="[tbl_Product].[Sub-Category]" caption="Sub-Category" attribute="1" defaultMemberUniqueName="[tbl_Product].[Sub-Category].[All]" allUniqueName="[tbl_Product].[Sub-Category].[All]" dimensionUniqueName="[tbl_Product]" displayFolder="" count="0" memberValueDatatype="130" unbalanced="0"/>
    <cacheHierarchy uniqueName="[tbl_Product].[Price]" caption="Price" attribute="1" defaultMemberUniqueName="[tbl_Product].[Price].[All]" allUniqueName="[tbl_Product].[Price].[All]" dimensionUniqueName="[tbl_Product]" displayFolder="" count="0" memberValueDatatype="20" unbalanced="0"/>
    <cacheHierarchy uniqueName="[tbl_Product].[Discount Price]" caption="Discount Price" attribute="1" defaultMemberUniqueName="[tbl_Product].[Discount Price].[All]" allUniqueName="[tbl_Product].[Discount Price].[All]" dimensionUniqueName="[tbl_Product]" displayFolder="" count="0" memberValueDatatype="20" unbalanced="0"/>
    <cacheHierarchy uniqueName="[tbl_Product].[Ratings]" caption="Ratings" attribute="1" defaultMemberUniqueName="[tbl_Product].[Ratings].[All]" allUniqueName="[tbl_Product].[Ratings].[All]" dimensionUniqueName="[tbl_Product]" displayFolder="" count="0" memberValueDatatype="5" unbalanced="0"/>
    <cacheHierarchy uniqueName="[tbl_Product].[Reviews]" caption="Reviews" attribute="1" defaultMemberUniqueName="[tbl_Product].[Reviews].[All]" allUniqueName="[tbl_Product].[Reviews].[All]" dimensionUniqueName="[tbl_Product]" displayFolder="" count="0" memberValueDatatype="20" unbalanced="0"/>
    <cacheHierarchy uniqueName="[tbl_Product].[Seller Name]" caption="Seller Name" attribute="1" defaultMemberUniqueName="[tbl_Product].[Seller Name].[All]" allUniqueName="[tbl_Product].[Seller Name].[All]" dimensionUniqueName="[tbl_Product]" displayFolder="" count="0" memberValueDatatype="130" unbalanced="0"/>
    <cacheHierarchy uniqueName="[tbl_Product].[Min_Delivery_Days]" caption="Min_Delivery_Days" attribute="1" defaultMemberUniqueName="[tbl_Product].[Min_Delivery_Days].[All]" allUniqueName="[tbl_Product].[Min_Delivery_Days].[All]" dimensionUniqueName="[tbl_Product]" displayFolder="" count="0" memberValueDatatype="130" unbalanced="0"/>
    <cacheHierarchy uniqueName="[tbl_Product].[Max_Delivery_days]" caption="Max_Delivery_days" attribute="1" defaultMemberUniqueName="[tbl_Product].[Max_Delivery_days].[All]" allUniqueName="[tbl_Product].[Max_Delivery_days].[All]" dimensionUniqueName="[tbl_Product]" displayFolder="" count="0" memberValueDatatype="130" unbalanced="0"/>
    <cacheHierarchy uniqueName="[tbl_Product].[Cost_Price]" caption="Cost_Price" attribute="1" defaultMemberUniqueName="[tbl_Product].[Cost_Price].[All]" allUniqueName="[tbl_Product].[Cost_Price].[All]" dimensionUniqueName="[tbl_Product]" displayFolder="" count="0" memberValueDatatype="5" unbalanced="0"/>
    <cacheHierarchy uniqueName="[tbl_Product].[Discount_Amount]" caption="Discount_Amount" attribute="1" defaultMemberUniqueName="[tbl_Product].[Discount_Amount].[All]" allUniqueName="[tbl_Product].[Discount_Amount].[All]" dimensionUniqueName="[tbl_Product]" displayFolder="" count="0" memberValueDatatype="20" unbalanced="0"/>
    <cacheHierarchy uniqueName="[tbl_Product].[Profit_Per_unit]" caption="Profit_Per_unit" attribute="1" defaultMemberUniqueName="[tbl_Product].[Profit_Per_unit].[All]" allUniqueName="[tbl_Product].[Profit_Per_unit].[All]" dimensionUniqueName="[tbl_Product]" displayFolder="" count="0" memberValueDatatype="5" unbalanced="0"/>
    <cacheHierarchy uniqueName="[tbl_Product].[Profit_Margin_%]" caption="Profit_Margin_%" attribute="1" defaultMemberUniqueName="[tbl_Product].[Profit_Margin_%].[All]" allUniqueName="[tbl_Product].[Profit_Margin_%].[All]" dimensionUniqueName="[tbl_Product]" displayFolder="" count="0" memberValueDatatype="5" unbalanced="0"/>
    <cacheHierarchy uniqueName="[tbl_Product].[Delivery Time]" caption="Delivery Time" attribute="1" defaultMemberUniqueName="[tbl_Product].[Delivery Time].[All]" allUniqueName="[tbl_Product].[Delivery Time].[All]" dimensionUniqueName="[tbl_Product]" displayFolder="" count="0" memberValueDatatype="130" unbalanced="0"/>
    <cacheHierarchy uniqueName="[tbl_Product].[Availability]" caption="Availability" attribute="1" defaultMemberUniqueName="[tbl_Product].[Availability].[All]" allUniqueName="[tbl_Product].[Availability].[All]" dimensionUniqueName="[tbl_Product]" displayFolder="" count="0" memberValueDatatype="130" unbalanced="0"/>
    <cacheHierarchy uniqueName="[tbl_Refund].[Refund_ID]" caption="Refund_ID" attribute="1" defaultMemberUniqueName="[tbl_Refund].[Refund_ID].[All]" allUniqueName="[tbl_Refund].[Refund_ID].[All]" dimensionUniqueName="[tbl_Refund]" displayFolder="" count="0" memberValueDatatype="130" unbalanced="0"/>
    <cacheHierarchy uniqueName="[tbl_Refund].[Order_ID]" caption="Order_ID" attribute="1" defaultMemberUniqueName="[tbl_Refund].[Order_ID].[All]" allUniqueName="[tbl_Refund].[Order_ID].[All]" dimensionUniqueName="[tbl_Refund]" displayFolder="" count="0" memberValueDatatype="130" unbalanced="0"/>
    <cacheHierarchy uniqueName="[tbl_Refund].[Product ID]" caption="Product ID" attribute="1" defaultMemberUniqueName="[tbl_Refund].[Product ID].[All]" allUniqueName="[tbl_Refund].[Product ID].[All]" dimensionUniqueName="[tbl_Refund]" displayFolder="" count="0" memberValueDatatype="130" unbalanced="0"/>
    <cacheHierarchy uniqueName="[tbl_Refund].[Quantity]" caption="Quantity" attribute="1" defaultMemberUniqueName="[tbl_Refund].[Quantity].[All]" allUniqueName="[tbl_Refund].[Quantity].[All]" dimensionUniqueName="[tbl_Refund]" displayFolder="" count="0" memberValueDatatype="20" unbalanced="0"/>
    <cacheHierarchy uniqueName="[tbl_Refund].[Order_Date]" caption="Order_Date" attribute="1" time="1" defaultMemberUniqueName="[tbl_Refund].[Order_Date].[All]" allUniqueName="[tbl_Refund].[Order_Date].[All]" dimensionUniqueName="[tbl_Refund]" displayFolder="" count="0" memberValueDatatype="7" unbalanced="0"/>
    <cacheHierarchy uniqueName="[tbl_Refund].[Refund_Date]" caption="Refund_Date" attribute="1" time="1" defaultMemberUniqueName="[tbl_Refund].[Refund_Date].[All]" allUniqueName="[tbl_Refund].[Refund_Date].[All]" dimensionUniqueName="[tbl_Refund]" displayFolder="" count="0" memberValueDatatype="7" unbalanced="0"/>
    <cacheHierarchy uniqueName="[tbl_Refund].[Unit_Selling_Price]" caption="Unit_Selling_Price" attribute="1" defaultMemberUniqueName="[tbl_Refund].[Unit_Selling_Price].[All]" allUniqueName="[tbl_Refund].[Unit_Selling_Price].[All]" dimensionUniqueName="[tbl_Refund]" displayFolder="" count="0" memberValueDatatype="20" unbalanced="0"/>
    <cacheHierarchy uniqueName="[tbl_Refund].[Order_Amount]" caption="Order_Amount" attribute="1" defaultMemberUniqueName="[tbl_Refund].[Order_Amount].[All]" allUniqueName="[tbl_Refund].[Order_Amount].[All]" dimensionUniqueName="[tbl_Refund]" displayFolder="" count="0" memberValueDatatype="20" unbalanced="0"/>
    <cacheHierarchy uniqueName="[tbl_Refund].[Refund_Amount(PARTIAL)]" caption="Refund_Amount(PARTIAL)" attribute="1" defaultMemberUniqueName="[tbl_Refund].[Refund_Amount(PARTIAL)].[All]" allUniqueName="[tbl_Refund].[Refund_Amount(PARTIAL)].[All]" dimensionUniqueName="[tbl_Refund]" displayFolder="" count="0" memberValueDatatype="5" unbalanced="0"/>
    <cacheHierarchy uniqueName="[tbl_Refund].[Refund_Reason]" caption="Refund_Reason" attribute="1" defaultMemberUniqueName="[tbl_Refund].[Refund_Reason].[All]" allUniqueName="[tbl_Refund].[Refund_Reason].[All]" dimensionUniqueName="[tbl_Refund]" displayFolder="" count="0" memberValueDatatype="130" unbalanced="0"/>
    <cacheHierarchy uniqueName="[Measures].[__XL_Count tbl_Orders]" caption="__XL_Count tbl_Orders" measure="1" displayFolder="" measureGroup="tbl_Orders" count="0" hidden="1"/>
    <cacheHierarchy uniqueName="[Measures].[__XL_Count tbl_Product]" caption="__XL_Count tbl_Product" measure="1" displayFolder="" measureGroup="tbl_Product" count="0" hidden="1"/>
    <cacheHierarchy uniqueName="[Measures].[__XL_Count tbl_Refund]" caption="__XL_Count tbl_Refund" measure="1" displayFolder="" measureGroup="tbl_Refund" count="0" hidden="1"/>
    <cacheHierarchy uniqueName="[Measures].[__XL_Count tbl_Delivery]" caption="__XL_Count tbl_Delivery" measure="1" displayFolder="" measureGroup="tbl_Delivery" count="0" hidden="1"/>
    <cacheHierarchy uniqueName="[Measures].[__XL_Count tbl_Location]" caption="__XL_Count tbl_Location" measure="1" displayFolder="" measureGroup="tbl_Location" count="0" hidden="1"/>
    <cacheHierarchy uniqueName="[Measures].[__XL_Count tbl_Customer]" caption="__XL_Count tbl_Customer" measure="1" displayFolder="" measureGroup="tbl_Customer" count="0" hidden="1"/>
    <cacheHierarchy uniqueName="[Measures].[__XL_Count Range]" caption="__XL_Count Range" measure="1" displayFolder="" measureGroup="Range" count="0" hidden="1"/>
    <cacheHierarchy uniqueName="[Measures].[__XL_Count tbl_Customer 1]" caption="__XL_Count tbl_Customer 1" measure="1" displayFolder="" measureGroup="tbl_Customer 1" count="0" hidden="1"/>
    <cacheHierarchy uniqueName="[Measures].[__XL_Count tbl_Orders 1]" caption="__XL_Count tbl_Orders 1" measure="1" displayFolder="" measureGroup="tbl_Orders 1" count="0" hidden="1"/>
    <cacheHierarchy uniqueName="[Measures].[__No measures defined]" caption="__No measures defined" measure="1" displayFolder="" count="0" hidden="1"/>
    <cacheHierarchy uniqueName="[Measures].[Sum of Order_Revenue]" caption="Sum of Order_Revenue" measure="1" displayFolder="" measureGroup="tbl_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Sum of Refund_Amount(PARTIAL)]" caption="Sum of Refund_Amount(PARTIAL)" measure="1" displayFolder="" measureGroup="tbl_Refund" count="0" hidden="1">
      <extLst>
        <ext xmlns:x15="http://schemas.microsoft.com/office/spreadsheetml/2010/11/main" uri="{B97F6D7D-B522-45F9-BDA1-12C45D357490}">
          <x15:cacheHierarchy aggregatedColumn="69"/>
        </ext>
      </extLst>
    </cacheHierarchy>
    <cacheHierarchy uniqueName="[Measures].[Count of Order_ID]" caption="Count of Order_ID" measure="1" displayFolder="" measureGroup="tbl_Delivery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Count of Order_ID 2]" caption="Count of Order_ID 2" measure="1" displayFolder="" measureGroup="tbl_Orders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</cacheHierarchies>
  <kpis count="0"/>
  <dimensions count="10">
    <dimension measure="1" name="Measures" uniqueName="[Measures]" caption="Measures"/>
    <dimension name="Range" uniqueName="[Range]" caption="Range"/>
    <dimension name="tbl_Customer" uniqueName="[tbl_Customer]" caption="tbl_Customer"/>
    <dimension name="tbl_Customer 1" uniqueName="[tbl_Customer 1]" caption="tbl_Customer 1"/>
    <dimension name="tbl_Delivery" uniqueName="[tbl_Delivery]" caption="tbl_Delivery"/>
    <dimension name="tbl_Location" uniqueName="[tbl_Location]" caption="tbl_Location"/>
    <dimension name="tbl_Orders" uniqueName="[tbl_Orders]" caption="tbl_Orders"/>
    <dimension name="tbl_Orders 1" uniqueName="[tbl_Orders 1]" caption="tbl_Orders 1"/>
    <dimension name="tbl_Product" uniqueName="[tbl_Product]" caption="tbl_Product"/>
    <dimension name="tbl_Refund" uniqueName="[tbl_Refund]" caption="tbl_Refund"/>
  </dimensions>
  <measureGroups count="9">
    <measureGroup name="Range" caption="Range"/>
    <measureGroup name="tbl_Customer" caption="tbl_Customer"/>
    <measureGroup name="tbl_Customer 1" caption="tbl_Customer 1"/>
    <measureGroup name="tbl_Delivery" caption="tbl_Delivery"/>
    <measureGroup name="tbl_Location" caption="tbl_Location"/>
    <measureGroup name="tbl_Orders" caption="tbl_Orders"/>
    <measureGroup name="tbl_Orders 1" caption="tbl_Orders 1"/>
    <measureGroup name="tbl_Product" caption="tbl_Product"/>
    <measureGroup name="tbl_Refund" caption="tbl_Refund"/>
  </measureGroups>
  <maps count="11">
    <map measureGroup="0" dimension="1"/>
    <map measureGroup="1" dimension="2"/>
    <map measureGroup="2" dimension="3"/>
    <map measureGroup="2" dimension="7"/>
    <map measureGroup="3" dimension="4"/>
    <map measureGroup="4" dimension="5"/>
    <map measureGroup="5" dimension="6"/>
    <map measureGroup="5" dimension="8"/>
    <map measureGroup="6" dimension="7"/>
    <map measureGroup="7" dimension="8"/>
    <map measureGroup="8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23B13A-DD54-482A-B157-4FA126F13137}" name="PivotTable4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2" firstHeaderRow="1" firstDataRow="1" firstDataCol="1"/>
  <pivotFields count="2"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dataField="1" subtotalTop="0" showAll="0" defaultSubtota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Order_Revenue" fld="1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Orders]"/>
        <x15:activeTabTopLevelEntity name="[tbl_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2F40BD-6E96-447B-AB37-B5E0C9446C8B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fund_Amount(PARTIAL)" fld="1" baseField="0" baseItem="0"/>
  </dataFields>
  <chartFormats count="1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8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-Commerce Revenue Leakage Project using Excel.xlsx!tbl_Refund">
        <x15:activeTabTopLevelEntity name="[tbl_Refun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C27EDE-7B33-47F8-9E70-C6D97FDA46FE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Order_ID" fld="1" subtotal="count" baseField="0" baseItem="0"/>
  </dataFields>
  <chartFormats count="3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8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E-Commerce Revenue Leakage Project using Excel.xlsx!tbl_Delivery">
        <x15:activeTabTopLevelEntity name="[tbl_Delive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B844548B-EAAF-4592-A76C-8FB92F32F9CA}" autoFormatId="16" applyNumberFormats="0" applyBorderFormats="0" applyFontFormats="0" applyPatternFormats="0" applyAlignmentFormats="0" applyWidthHeightFormats="0">
  <queryTableRefresh nextId="11">
    <queryTableFields count="10">
      <queryTableField id="1" name="tbl_Refund[Refund_ID]" tableColumnId="1"/>
      <queryTableField id="2" name="tbl_Refund[Order_ID]" tableColumnId="2"/>
      <queryTableField id="3" name="tbl_Refund[Product ID]" tableColumnId="3"/>
      <queryTableField id="4" name="tbl_Refund[Quantity]" tableColumnId="4"/>
      <queryTableField id="5" name="tbl_Refund[Order_Date]" tableColumnId="5"/>
      <queryTableField id="6" name="tbl_Refund[Refund_Date]" tableColumnId="6"/>
      <queryTableField id="7" name="tbl_Refund[Unit_Selling_Price]" tableColumnId="7"/>
      <queryTableField id="8" name="tbl_Refund[Order_Amount]" tableColumnId="8"/>
      <queryTableField id="9" name="tbl_Refund[Refund_Amount(PARTIAL)]" tableColumnId="9"/>
      <queryTableField id="10" name="tbl_Refund[Refund_Reason]" tableColumnId="10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F8824296-2A78-476B-A367-AD155F33C446}" autoFormatId="16" applyNumberFormats="0" applyBorderFormats="0" applyFontFormats="0" applyPatternFormats="0" applyAlignmentFormats="0" applyWidthHeightFormats="0">
  <queryTableRefresh nextId="8">
    <queryTableFields count="7">
      <queryTableField id="1" name="tbl_Delivery[Order_ID]" tableColumnId="1"/>
      <queryTableField id="2" name="tbl_Delivery[Ordered_Date]" tableColumnId="2"/>
      <queryTableField id="3" name="tbl_Delivery[Promised_Day]" tableColumnId="3"/>
      <queryTableField id="4" name="tbl_Delivery[Promised_Delivery_Date]" tableColumnId="4"/>
      <queryTableField id="5" name="tbl_Delivery[Actual_Day]" tableColumnId="5"/>
      <queryTableField id="6" name="tbl_Delivery[Actual_Delivery_date]" tableColumnId="6"/>
      <queryTableField id="7" name="tbl_Delivery[Delivery_Status]" tableColumnId="7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6F844F-C340-40EF-9576-97AD2A044DCB}" name="tbl_Product" displayName="tbl_Product" ref="A1:Q31" totalsRowShown="0">
  <autoFilter ref="A1:Q31" xr:uid="{266F844F-C340-40EF-9576-97AD2A044DCB}"/>
  <tableColumns count="17">
    <tableColumn id="1" xr3:uid="{68F297A6-99A9-4820-9570-A0B893D17DDF}" name="Product ID"/>
    <tableColumn id="2" xr3:uid="{F85FB5F4-24BD-4CA8-86BA-7243968D475A}" name="Product Name"/>
    <tableColumn id="3" xr3:uid="{A8B5A06F-4A48-4D4A-A3FF-EFBF25741B07}" name="Category"/>
    <tableColumn id="4" xr3:uid="{C32C247B-3F03-4653-AD91-CF14F03E97B3}" name="Sub-Category"/>
    <tableColumn id="5" xr3:uid="{26A3940D-08F6-4A2C-9802-13B7D6DB3DD6}" name="Price"/>
    <tableColumn id="6" xr3:uid="{842D71BC-C6D4-46AA-8A24-64D45DB936AA}" name="Discount Price"/>
    <tableColumn id="7" xr3:uid="{F8BEE80E-5FC7-43BB-B6D5-754C23A5B4DC}" name="Ratings"/>
    <tableColumn id="8" xr3:uid="{6928154C-DE6F-4A92-BAB6-422F48C7A467}" name="Reviews"/>
    <tableColumn id="9" xr3:uid="{D7F75154-B779-4D8A-80B0-66232B189A36}" name="Seller Name"/>
    <tableColumn id="13" xr3:uid="{9BA788C4-509D-416B-BE74-7991C90B7790}" name="Min_Delivery_Days" dataDxfId="45">
      <calculatedColumnFormula>LEFT(P2,1)</calculatedColumnFormula>
    </tableColumn>
    <tableColumn id="12" xr3:uid="{7A305839-A2FE-4632-B93E-B283D20847C9}" name="Max_Delivery_days" dataDxfId="44">
      <calculatedColumnFormula>MID(P2,3,1)</calculatedColumnFormula>
    </tableColumn>
    <tableColumn id="14" xr3:uid="{D3B3FC6E-C853-41D4-8B43-94A3D6D4E51A}" name="Cost_Price" dataDxfId="43">
      <calculatedColumnFormula>E2*0.65</calculatedColumnFormula>
    </tableColumn>
    <tableColumn id="15" xr3:uid="{C7C9CE3C-3DCB-47F1-9FB0-E88809DF42FF}" name="Discount_Amount" dataDxfId="42">
      <calculatedColumnFormula>E2-F2</calculatedColumnFormula>
    </tableColumn>
    <tableColumn id="16" xr3:uid="{42DA73CE-0D15-475B-A2A7-C0195C71CD0B}" name="Profit_Per_unit" dataDxfId="41">
      <calculatedColumnFormula>F2 - L2</calculatedColumnFormula>
    </tableColumn>
    <tableColumn id="17" xr3:uid="{CE2E941C-D8BD-48E8-A863-ED681B980CA6}" name="Profit_Margin_%" dataDxfId="40">
      <calculatedColumnFormula>(N2/F2)</calculatedColumnFormula>
    </tableColumn>
    <tableColumn id="10" xr3:uid="{775AFE36-6555-4F9A-BB29-47EEBEF03D9B}" name="Delivery Time"/>
    <tableColumn id="11" xr3:uid="{7554FD7A-5F21-4DE4-B005-A2C020F1ED79}" name="Availabilit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EC5AE1-A062-4586-9EB2-96B569436C2D}" name="tbl_Customer" displayName="tbl_Customer" ref="A1:F31" totalsRowShown="0" headerRowDxfId="39" dataDxfId="38" tableBorderDxfId="37" headerRowCellStyle="Neutral">
  <autoFilter ref="A1:F31" xr:uid="{BFEC5AE1-A062-4586-9EB2-96B569436C2D}"/>
  <tableColumns count="6">
    <tableColumn id="1" xr3:uid="{C0D78DAF-989E-48D0-8F07-25F676186F26}" name="Customer_ID2" dataDxfId="36"/>
    <tableColumn id="2" xr3:uid="{E9EB2AB3-759A-4ED7-9680-10CA1757C1D9}" name="Customer_name" dataDxfId="35"/>
    <tableColumn id="3" xr3:uid="{2D581B21-6659-468F-B125-E0120CC997A4}" name="Gender" dataDxfId="34"/>
    <tableColumn id="4" xr3:uid="{290507FB-9E20-4727-B9D6-4FBD4B213ED2}" name="City" dataDxfId="33"/>
    <tableColumn id="5" xr3:uid="{12E2A6F6-5C9E-4E54-B5E7-C8E089C0CE6D}" name="State" dataDxfId="32"/>
    <tableColumn id="6" xr3:uid="{7B7FC78C-65A5-4616-B423-8F4D532F0DC5}" name="Customer_Type" dataDxfId="3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76AF847-E197-4EDE-A0C5-A667DCF46878}" name="tbl_Location" displayName="tbl_Location" ref="A1:B7" totalsRowShown="0" headerRowDxfId="30" dataDxfId="29">
  <autoFilter ref="A1:B7" xr:uid="{676AF847-E197-4EDE-A0C5-A667DCF46878}"/>
  <tableColumns count="2">
    <tableColumn id="1" xr3:uid="{DFD37B2D-29B2-46D3-B841-178FFD1AF9D1}" name="City" dataDxfId="28"/>
    <tableColumn id="2" xr3:uid="{87DDB50D-B27F-4E1E-BBCA-60B6FC25E985}" name="State" dataDxfId="2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233BC9-5F7C-43B5-BEEC-19185AEDB62F}" name="tbl_Orders" displayName="tbl_Orders" ref="A1:K31" totalsRowShown="0" headerRowDxfId="26" dataDxfId="25" tableBorderDxfId="24" headerRowCellStyle="Bad">
  <autoFilter ref="A1:K31" xr:uid="{16233BC9-5F7C-43B5-BEEC-19185AEDB62F}"/>
  <tableColumns count="11">
    <tableColumn id="1" xr3:uid="{AF9CE814-CC55-4E02-9B0B-67ABC38049C7}" name="Order_ID" dataDxfId="23"/>
    <tableColumn id="2" xr3:uid="{FDE0E768-3251-4789-B813-CEBC8D7A1320}" name="Order_Date" dataDxfId="22"/>
    <tableColumn id="3" xr3:uid="{918903B5-0DC9-49AC-90DE-4BB9768BABBB}" name="Customer_ID2" dataDxfId="21"/>
    <tableColumn id="4" xr3:uid="{AE791A7C-FAD1-4F1D-8D6D-F6AFB360287D}" name="Product ID" dataDxfId="20"/>
    <tableColumn id="5" xr3:uid="{87BF6487-97F3-405E-8D2C-D9F8F47D0ECA}" name="Quantity" dataDxfId="19"/>
    <tableColumn id="6" xr3:uid="{299FADFC-EC5F-4D4F-BE66-3F0EE3F3DCB2}" name="Payment_Mode" dataDxfId="18"/>
    <tableColumn id="7" xr3:uid="{6DFC5FBC-FFCA-4F7D-A76B-7DF8B1D20BF7}" name="Order_Status" dataDxfId="17"/>
    <tableColumn id="8" xr3:uid="{51D9C596-BB5E-411C-A52C-9677140108C7}" name="Unit_Selling_Price" dataDxfId="16">
      <calculatedColumnFormula>_xlfn.XLOOKUP(D2, Product_clean!A:A, Product_clean!F:F)</calculatedColumnFormula>
    </tableColumn>
    <tableColumn id="9" xr3:uid="{D362E28D-7D0B-4E8A-A2AD-43663D259C50}" name="Order_Revenue" dataDxfId="15">
      <calculatedColumnFormula>H2 * E2</calculatedColumnFormula>
    </tableColumn>
    <tableColumn id="10" xr3:uid="{82BAC9A5-D006-4E0F-BC0D-41C80D3333D9}" name="Order_Cost" dataDxfId="14">
      <calculatedColumnFormula>E2 * _xlfn.XLOOKUP(D2, Product_clean!A:A, Product_clean!L:L)</calculatedColumnFormula>
    </tableColumn>
    <tableColumn id="11" xr3:uid="{80453296-EE79-45D7-8966-D229A141C1EF}" name="Order_Profit" dataDxfId="13">
      <calculatedColumnFormula xml:space="preserve"> I2 - J2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616C4A-A941-462A-9DD4-C3644B1A7F26}" name="Table_ExternalData_1" displayName="Table_ExternalData_1" ref="A3:J17" tableType="queryTable" totalsRowShown="0">
  <autoFilter ref="A3:J17" xr:uid="{9E616C4A-A941-462A-9DD4-C3644B1A7F26}"/>
  <tableColumns count="10">
    <tableColumn id="1" xr3:uid="{012BE220-ED3E-4C02-A001-E3F889296F8B}" uniqueName="1" name="tbl_Refund[Refund_ID]" queryTableFieldId="1"/>
    <tableColumn id="2" xr3:uid="{D0FA4A45-6D31-4C50-90E6-6C1D522DF159}" uniqueName="2" name="tbl_Refund[Order_ID]" queryTableFieldId="2"/>
    <tableColumn id="3" xr3:uid="{0BB43D20-F583-43C0-8112-0019A10860DC}" uniqueName="3" name="tbl_Refund[Product ID]" queryTableFieldId="3"/>
    <tableColumn id="4" xr3:uid="{2BBFFB17-6143-4DD6-8D32-E56D9338241B}" uniqueName="4" name="tbl_Refund[Quantity]" queryTableFieldId="4"/>
    <tableColumn id="5" xr3:uid="{E8C8AAA2-A4E4-4B96-8A60-174CDB7F0B8B}" uniqueName="5" name="tbl_Refund[Order_Date]" queryTableFieldId="5" dataDxfId="12"/>
    <tableColumn id="6" xr3:uid="{4818FAF9-D3BD-4BCB-89C9-10FA70D31DE6}" uniqueName="6" name="tbl_Refund[Refund_Date]" queryTableFieldId="6" dataDxfId="11"/>
    <tableColumn id="7" xr3:uid="{14405435-4002-46A8-BE5B-0F5667BD4E39}" uniqueName="7" name="tbl_Refund[Unit_Selling_Price]" queryTableFieldId="7"/>
    <tableColumn id="8" xr3:uid="{70021EE2-1041-4DA6-A724-A50B6E8860E4}" uniqueName="8" name="tbl_Refund[Order_Amount]" queryTableFieldId="8"/>
    <tableColumn id="9" xr3:uid="{DAC53FEC-7CE6-4DB8-8FDD-FC7EFE667FD7}" uniqueName="9" name="tbl_Refund[Refund_Amount(PARTIAL)]" queryTableFieldId="9"/>
    <tableColumn id="10" xr3:uid="{E5CBDA8E-B912-410F-8DA7-0CBFDFD38BB0}" uniqueName="10" name="tbl_Refund[Refund_Reason]" queryTableFieldId="1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4539AF1-AF4C-4C6E-94F4-7D8C4FE25BCE}" name="tbl_Refund" displayName="tbl_Refund" ref="A1:J15" totalsRowShown="0" headerRowCellStyle="Neutral">
  <autoFilter ref="A1:J15" xr:uid="{B4539AF1-AF4C-4C6E-94F4-7D8C4FE25BCE}"/>
  <tableColumns count="10">
    <tableColumn id="1" xr3:uid="{CC31ADC0-A07F-484E-8AE3-9D00237330CB}" name="Refund_ID"/>
    <tableColumn id="2" xr3:uid="{E05C44AD-AE65-4C56-BC1A-38F93044F6AE}" name="Order_ID"/>
    <tableColumn id="3" xr3:uid="{349BB0E6-BE60-404A-90FF-9087BBC8D538}" name="Product ID"/>
    <tableColumn id="4" xr3:uid="{06D4D7AE-7596-46C6-B7B6-5DE60793CD4F}" name="Quantity"/>
    <tableColumn id="5" xr3:uid="{1E7654C6-9C65-4B17-96FE-1405FA11C30C}" name="Order_Date" dataDxfId="10"/>
    <tableColumn id="6" xr3:uid="{F819C5CC-67F2-4930-90AE-38C67758ABD2}" name="Refund_Date" dataDxfId="9"/>
    <tableColumn id="7" xr3:uid="{C3AB78CA-B637-4A11-9E11-4D2834B2FC44}" name="Unit_Selling_Price"/>
    <tableColumn id="8" xr3:uid="{3E530341-67BB-4907-BE05-934426D9D094}" name="Order_Amount" dataDxfId="8"/>
    <tableColumn id="9" xr3:uid="{1890200B-D5B0-4EED-B5E2-741BC4379C46}" name="Refund_Amount(PARTIAL)" dataDxfId="7"/>
    <tableColumn id="10" xr3:uid="{EE5B2E63-CED6-4BD4-8EA4-22FEE2B9424F}" name="Refund_Reas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BEC5DC5-10DC-44E3-94BB-2733F014256E}" name="Table_ExternalData_16" displayName="Table_ExternalData_16" ref="A3:G21" tableType="queryTable" totalsRowShown="0">
  <autoFilter ref="A3:G21" xr:uid="{0BEC5DC5-10DC-44E3-94BB-2733F014256E}"/>
  <tableColumns count="7">
    <tableColumn id="1" xr3:uid="{6C4EB4B3-69E0-47DF-B5E8-5A1475E4DD62}" uniqueName="1" name="tbl_Delivery[Order_ID]" queryTableFieldId="1"/>
    <tableColumn id="2" xr3:uid="{EF2AD7B9-674F-4DBC-A85D-CDC745846882}" uniqueName="2" name="tbl_Delivery[Ordered_Date]" queryTableFieldId="2" dataDxfId="6"/>
    <tableColumn id="3" xr3:uid="{21FF3072-9027-4C50-BABA-7D2ABACA69D9}" uniqueName="3" name="tbl_Delivery[Promised_Day]" queryTableFieldId="3"/>
    <tableColumn id="4" xr3:uid="{DFDF8D90-03F8-43A8-AF7A-DBEF8775B7B0}" uniqueName="4" name="tbl_Delivery[Promised_Delivery_Date]" queryTableFieldId="4" dataDxfId="5"/>
    <tableColumn id="5" xr3:uid="{14284E37-032A-4E09-8E27-D91A0BF8C0C6}" uniqueName="5" name="tbl_Delivery[Actual_Day]" queryTableFieldId="5"/>
    <tableColumn id="6" xr3:uid="{E5B0FA79-175E-4972-A91E-90B608E90A21}" uniqueName="6" name="tbl_Delivery[Actual_Delivery_date]" queryTableFieldId="6" dataDxfId="4"/>
    <tableColumn id="7" xr3:uid="{EA4229A7-CD5C-429C-B4FE-87188442C6D0}" uniqueName="7" name="tbl_Delivery[Delivery_Status]" queryTableField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6ED5B4-F843-475C-A364-AB0DD3367B98}" name="Table6" displayName="Table6" ref="A1:B6" totalsRowShown="0" headerRowDxfId="3">
  <autoFilter ref="A1:B6" xr:uid="{B26ED5B4-F843-475C-A364-AB0DD3367B98}"/>
  <tableColumns count="2">
    <tableColumn id="1" xr3:uid="{425FA671-E3B3-48E6-AEBF-6E8A7DB38336}" name="KPI Name"/>
    <tableColumn id="2" xr3:uid="{9270DB67-7C38-4E41-A149-47985960F413}" name="Values"/>
  </tableColumns>
  <tableStyleInfo name="TableStyleLight2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8A793A8-DB20-4F9C-B45B-14D8FF98C7BE}" name="tbl_Delivery" displayName="tbl_Delivery" ref="A1:G19" totalsRowShown="0" headerRowCellStyle="Good">
  <autoFilter ref="A1:G19" xr:uid="{98A793A8-DB20-4F9C-B45B-14D8FF98C7BE}"/>
  <tableColumns count="7">
    <tableColumn id="1" xr3:uid="{273949B8-4536-4C85-A672-768DB97D4E1A}" name="Order_ID"/>
    <tableColumn id="2" xr3:uid="{63BC269B-D074-4FFD-9B77-197849320664}" name="Ordered_Date" dataDxfId="2"/>
    <tableColumn id="3" xr3:uid="{6C5BA285-1901-4C61-9CB2-8E47B4BB45EE}" name="Promised_Day"/>
    <tableColumn id="4" xr3:uid="{0A46B6E4-9C06-4BE6-A51B-AD7001B26BB2}" name="Promised_Delivery_Date" dataDxfId="1"/>
    <tableColumn id="5" xr3:uid="{5230FBEA-1CC7-438E-B75E-E30474F8C3E5}" name="Actual_Day"/>
    <tableColumn id="6" xr3:uid="{13D64250-8C0E-4B4C-9D49-A6B13E5D78D1}" name="Actual_Delivery_date" dataDxfId="0"/>
    <tableColumn id="7" xr3:uid="{D49DB8F1-566B-47B3-A3C2-FA33C3203479}" name="Delivery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359A4-66C0-47E4-A5E7-DB13DA9DE838}">
  <dimension ref="A1:Q38"/>
  <sheetViews>
    <sheetView zoomScale="70" zoomScaleNormal="70" workbookViewId="0">
      <selection activeCell="A2" sqref="A2"/>
    </sheetView>
  </sheetViews>
  <sheetFormatPr defaultRowHeight="14.4" x14ac:dyDescent="0.3"/>
  <cols>
    <col min="1" max="1" width="13.109375" customWidth="1"/>
    <col min="2" max="2" width="35.5546875" customWidth="1"/>
    <col min="3" max="3" width="24" customWidth="1"/>
    <col min="4" max="4" width="15" customWidth="1"/>
    <col min="5" max="5" width="10.88671875" customWidth="1"/>
    <col min="6" max="6" width="15.88671875" customWidth="1"/>
    <col min="7" max="7" width="19.33203125" customWidth="1"/>
    <col min="8" max="8" width="17.33203125" customWidth="1"/>
    <col min="9" max="9" width="20.5546875" customWidth="1"/>
    <col min="10" max="10" width="10.44140625" customWidth="1"/>
    <col min="11" max="11" width="7.21875" customWidth="1"/>
    <col min="12" max="14" width="18.88671875" customWidth="1"/>
    <col min="15" max="15" width="18.88671875" style="2" customWidth="1"/>
    <col min="16" max="16" width="17.5546875" customWidth="1"/>
    <col min="17" max="18" width="11.66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173</v>
      </c>
      <c r="K1" t="s">
        <v>174</v>
      </c>
      <c r="L1" t="s">
        <v>175</v>
      </c>
      <c r="M1" t="s">
        <v>176</v>
      </c>
      <c r="N1" t="s">
        <v>177</v>
      </c>
      <c r="O1" s="2" t="s">
        <v>178</v>
      </c>
      <c r="P1" t="s">
        <v>9</v>
      </c>
      <c r="Q1" t="s">
        <v>10</v>
      </c>
    </row>
    <row r="2" spans="1:17" x14ac:dyDescent="0.3">
      <c r="A2" t="s">
        <v>11</v>
      </c>
      <c r="B2" t="s">
        <v>148</v>
      </c>
      <c r="C2" t="s">
        <v>13</v>
      </c>
      <c r="D2" t="s">
        <v>14</v>
      </c>
      <c r="E2">
        <v>699</v>
      </c>
      <c r="F2">
        <v>349</v>
      </c>
      <c r="G2">
        <v>4.2</v>
      </c>
      <c r="H2">
        <v>1250</v>
      </c>
      <c r="I2" t="s">
        <v>15</v>
      </c>
      <c r="J2" t="str">
        <f t="shared" ref="J2:J31" si="0">LEFT(P2,1)</f>
        <v>5</v>
      </c>
      <c r="K2" t="str">
        <f t="shared" ref="K2:K31" si="1">MID(P2,3,1)</f>
        <v>7</v>
      </c>
      <c r="L2">
        <f t="shared" ref="L2:L31" si="2">E2*0.65</f>
        <v>454.35</v>
      </c>
      <c r="M2">
        <f t="shared" ref="M2:M31" si="3">E2-F2</f>
        <v>350</v>
      </c>
      <c r="N2">
        <f t="shared" ref="N2:N31" si="4">F2 - L2</f>
        <v>-105.35000000000002</v>
      </c>
      <c r="O2" s="2">
        <f t="shared" ref="O2:O31" si="5">(N2/F2)</f>
        <v>-0.30186246418338114</v>
      </c>
      <c r="P2" t="s">
        <v>167</v>
      </c>
      <c r="Q2" t="s">
        <v>17</v>
      </c>
    </row>
    <row r="3" spans="1:17" x14ac:dyDescent="0.3">
      <c r="A3" t="s">
        <v>18</v>
      </c>
      <c r="B3" t="s">
        <v>19</v>
      </c>
      <c r="C3" t="s">
        <v>13</v>
      </c>
      <c r="D3" t="s">
        <v>20</v>
      </c>
      <c r="E3">
        <v>1199</v>
      </c>
      <c r="F3">
        <v>549</v>
      </c>
      <c r="G3">
        <v>4</v>
      </c>
      <c r="H3">
        <v>980</v>
      </c>
      <c r="I3" t="s">
        <v>21</v>
      </c>
      <c r="J3" t="str">
        <f t="shared" si="0"/>
        <v>6</v>
      </c>
      <c r="K3" t="str">
        <f t="shared" si="1"/>
        <v>8</v>
      </c>
      <c r="L3">
        <f t="shared" si="2"/>
        <v>779.35</v>
      </c>
      <c r="M3">
        <f t="shared" si="3"/>
        <v>650</v>
      </c>
      <c r="N3">
        <f t="shared" si="4"/>
        <v>-230.35000000000002</v>
      </c>
      <c r="O3" s="2">
        <f t="shared" si="5"/>
        <v>-0.41958105646630239</v>
      </c>
      <c r="P3" t="s">
        <v>168</v>
      </c>
      <c r="Q3" t="s">
        <v>17</v>
      </c>
    </row>
    <row r="4" spans="1:17" x14ac:dyDescent="0.3">
      <c r="A4" t="s">
        <v>23</v>
      </c>
      <c r="B4" t="s">
        <v>149</v>
      </c>
      <c r="C4" t="s">
        <v>150</v>
      </c>
      <c r="D4" t="s">
        <v>26</v>
      </c>
      <c r="E4">
        <v>799</v>
      </c>
      <c r="F4">
        <v>399</v>
      </c>
      <c r="G4">
        <v>4.3</v>
      </c>
      <c r="H4">
        <v>650</v>
      </c>
      <c r="I4" t="s">
        <v>27</v>
      </c>
      <c r="J4" t="str">
        <f t="shared" si="0"/>
        <v>4</v>
      </c>
      <c r="K4" t="str">
        <f t="shared" si="1"/>
        <v>6</v>
      </c>
      <c r="L4">
        <f t="shared" si="2"/>
        <v>519.35</v>
      </c>
      <c r="M4">
        <f t="shared" si="3"/>
        <v>400</v>
      </c>
      <c r="N4">
        <f t="shared" si="4"/>
        <v>-120.35000000000002</v>
      </c>
      <c r="O4" s="2">
        <f t="shared" si="5"/>
        <v>-0.3016290726817043</v>
      </c>
      <c r="P4" t="s">
        <v>169</v>
      </c>
      <c r="Q4" t="s">
        <v>17</v>
      </c>
    </row>
    <row r="5" spans="1:17" x14ac:dyDescent="0.3">
      <c r="A5" t="s">
        <v>29</v>
      </c>
      <c r="B5" t="s">
        <v>151</v>
      </c>
      <c r="C5" t="s">
        <v>13</v>
      </c>
      <c r="D5" t="s">
        <v>31</v>
      </c>
      <c r="E5">
        <v>299</v>
      </c>
      <c r="F5">
        <v>179</v>
      </c>
      <c r="G5">
        <v>4.0999999999999996</v>
      </c>
      <c r="H5">
        <v>1150</v>
      </c>
      <c r="I5" t="s">
        <v>32</v>
      </c>
      <c r="J5" t="str">
        <f t="shared" si="0"/>
        <v>5</v>
      </c>
      <c r="K5" t="str">
        <f t="shared" si="1"/>
        <v>7</v>
      </c>
      <c r="L5">
        <f t="shared" si="2"/>
        <v>194.35</v>
      </c>
      <c r="M5">
        <f t="shared" si="3"/>
        <v>120</v>
      </c>
      <c r="N5">
        <f t="shared" si="4"/>
        <v>-15.349999999999994</v>
      </c>
      <c r="O5" s="2">
        <f t="shared" si="5"/>
        <v>-8.5754189944134043E-2</v>
      </c>
      <c r="P5" t="s">
        <v>167</v>
      </c>
      <c r="Q5" t="s">
        <v>17</v>
      </c>
    </row>
    <row r="6" spans="1:17" x14ac:dyDescent="0.3">
      <c r="A6" t="s">
        <v>33</v>
      </c>
      <c r="B6" t="s">
        <v>34</v>
      </c>
      <c r="C6" t="s">
        <v>35</v>
      </c>
      <c r="D6" t="s">
        <v>36</v>
      </c>
      <c r="E6">
        <v>499</v>
      </c>
      <c r="F6">
        <v>249</v>
      </c>
      <c r="G6">
        <v>4.5</v>
      </c>
      <c r="H6">
        <v>820</v>
      </c>
      <c r="I6" t="s">
        <v>37</v>
      </c>
      <c r="J6" t="str">
        <f t="shared" si="0"/>
        <v>3</v>
      </c>
      <c r="K6" t="str">
        <f t="shared" si="1"/>
        <v>5</v>
      </c>
      <c r="L6">
        <f t="shared" si="2"/>
        <v>324.35000000000002</v>
      </c>
      <c r="M6">
        <f t="shared" si="3"/>
        <v>250</v>
      </c>
      <c r="N6">
        <f t="shared" si="4"/>
        <v>-75.350000000000023</v>
      </c>
      <c r="O6" s="2">
        <f t="shared" si="5"/>
        <v>-0.30261044176706836</v>
      </c>
      <c r="P6" t="s">
        <v>170</v>
      </c>
      <c r="Q6" t="s">
        <v>17</v>
      </c>
    </row>
    <row r="7" spans="1:17" x14ac:dyDescent="0.3">
      <c r="A7" t="s">
        <v>39</v>
      </c>
      <c r="B7" t="s">
        <v>40</v>
      </c>
      <c r="C7" t="s">
        <v>35</v>
      </c>
      <c r="D7" t="s">
        <v>41</v>
      </c>
      <c r="E7">
        <v>899</v>
      </c>
      <c r="F7">
        <v>499</v>
      </c>
      <c r="G7">
        <v>4.2</v>
      </c>
      <c r="H7">
        <v>720</v>
      </c>
      <c r="I7" t="s">
        <v>42</v>
      </c>
      <c r="J7" t="str">
        <f t="shared" si="0"/>
        <v>5</v>
      </c>
      <c r="K7" t="str">
        <f t="shared" si="1"/>
        <v>8</v>
      </c>
      <c r="L7">
        <f t="shared" si="2"/>
        <v>584.35</v>
      </c>
      <c r="M7">
        <f t="shared" si="3"/>
        <v>400</v>
      </c>
      <c r="N7">
        <f t="shared" si="4"/>
        <v>-85.350000000000023</v>
      </c>
      <c r="O7" s="2">
        <f t="shared" si="5"/>
        <v>-0.17104208416833672</v>
      </c>
      <c r="P7" t="s">
        <v>171</v>
      </c>
      <c r="Q7" t="s">
        <v>17</v>
      </c>
    </row>
    <row r="8" spans="1:17" x14ac:dyDescent="0.3">
      <c r="A8" t="s">
        <v>44</v>
      </c>
      <c r="B8" t="s">
        <v>45</v>
      </c>
      <c r="C8" t="s">
        <v>46</v>
      </c>
      <c r="D8" t="s">
        <v>47</v>
      </c>
      <c r="E8">
        <v>499</v>
      </c>
      <c r="F8">
        <v>259</v>
      </c>
      <c r="G8">
        <v>4.5999999999999996</v>
      </c>
      <c r="H8">
        <v>500</v>
      </c>
      <c r="I8" t="s">
        <v>48</v>
      </c>
      <c r="J8" t="str">
        <f t="shared" si="0"/>
        <v>4</v>
      </c>
      <c r="K8" t="str">
        <f t="shared" si="1"/>
        <v>6</v>
      </c>
      <c r="L8">
        <f t="shared" si="2"/>
        <v>324.35000000000002</v>
      </c>
      <c r="M8">
        <f t="shared" si="3"/>
        <v>240</v>
      </c>
      <c r="N8">
        <f t="shared" si="4"/>
        <v>-65.350000000000023</v>
      </c>
      <c r="O8" s="2">
        <f t="shared" si="5"/>
        <v>-0.25231660231660241</v>
      </c>
      <c r="P8" t="s">
        <v>169</v>
      </c>
      <c r="Q8" t="s">
        <v>17</v>
      </c>
    </row>
    <row r="9" spans="1:17" x14ac:dyDescent="0.3">
      <c r="A9" t="s">
        <v>49</v>
      </c>
      <c r="B9" t="s">
        <v>152</v>
      </c>
      <c r="C9" t="s">
        <v>51</v>
      </c>
      <c r="D9" t="s">
        <v>52</v>
      </c>
      <c r="E9">
        <v>1299</v>
      </c>
      <c r="F9">
        <v>699</v>
      </c>
      <c r="G9">
        <v>4.3</v>
      </c>
      <c r="H9">
        <v>430</v>
      </c>
      <c r="I9" t="s">
        <v>53</v>
      </c>
      <c r="J9" t="str">
        <f t="shared" si="0"/>
        <v>5</v>
      </c>
      <c r="K9" t="str">
        <f t="shared" si="1"/>
        <v>7</v>
      </c>
      <c r="L9">
        <f t="shared" si="2"/>
        <v>844.35</v>
      </c>
      <c r="M9">
        <f t="shared" si="3"/>
        <v>600</v>
      </c>
      <c r="N9">
        <f t="shared" si="4"/>
        <v>-145.35000000000002</v>
      </c>
      <c r="O9" s="2">
        <f t="shared" si="5"/>
        <v>-0.20793991416309016</v>
      </c>
      <c r="P9" t="s">
        <v>167</v>
      </c>
      <c r="Q9" t="s">
        <v>17</v>
      </c>
    </row>
    <row r="10" spans="1:17" x14ac:dyDescent="0.3">
      <c r="A10" t="s">
        <v>54</v>
      </c>
      <c r="B10" t="s">
        <v>153</v>
      </c>
      <c r="C10" t="s">
        <v>56</v>
      </c>
      <c r="D10" t="s">
        <v>57</v>
      </c>
      <c r="E10">
        <v>1499</v>
      </c>
      <c r="F10">
        <v>799</v>
      </c>
      <c r="G10">
        <v>4.4000000000000004</v>
      </c>
      <c r="H10">
        <v>780</v>
      </c>
      <c r="I10" t="s">
        <v>58</v>
      </c>
      <c r="J10" t="str">
        <f t="shared" si="0"/>
        <v>4</v>
      </c>
      <c r="K10" t="str">
        <f t="shared" si="1"/>
        <v>6</v>
      </c>
      <c r="L10">
        <f t="shared" si="2"/>
        <v>974.35</v>
      </c>
      <c r="M10">
        <f t="shared" si="3"/>
        <v>700</v>
      </c>
      <c r="N10">
        <f t="shared" si="4"/>
        <v>-175.35000000000002</v>
      </c>
      <c r="O10" s="2">
        <f t="shared" si="5"/>
        <v>-0.21946182728410515</v>
      </c>
      <c r="P10" t="s">
        <v>169</v>
      </c>
      <c r="Q10" t="s">
        <v>17</v>
      </c>
    </row>
    <row r="11" spans="1:17" x14ac:dyDescent="0.3">
      <c r="A11" t="s">
        <v>59</v>
      </c>
      <c r="B11" t="s">
        <v>154</v>
      </c>
      <c r="C11" t="s">
        <v>61</v>
      </c>
      <c r="D11" t="s">
        <v>62</v>
      </c>
      <c r="E11">
        <v>399</v>
      </c>
      <c r="F11">
        <v>189</v>
      </c>
      <c r="G11">
        <v>4.5</v>
      </c>
      <c r="H11">
        <v>1050</v>
      </c>
      <c r="I11" t="s">
        <v>63</v>
      </c>
      <c r="J11" t="str">
        <f t="shared" si="0"/>
        <v>3</v>
      </c>
      <c r="K11" t="str">
        <f t="shared" si="1"/>
        <v>5</v>
      </c>
      <c r="L11">
        <f t="shared" si="2"/>
        <v>259.35000000000002</v>
      </c>
      <c r="M11">
        <f t="shared" si="3"/>
        <v>210</v>
      </c>
      <c r="N11">
        <f t="shared" si="4"/>
        <v>-70.350000000000023</v>
      </c>
      <c r="O11" s="2">
        <f t="shared" si="5"/>
        <v>-0.37222222222222234</v>
      </c>
      <c r="P11" t="s">
        <v>170</v>
      </c>
      <c r="Q11" t="s">
        <v>17</v>
      </c>
    </row>
    <row r="12" spans="1:17" x14ac:dyDescent="0.3">
      <c r="A12" t="s">
        <v>64</v>
      </c>
      <c r="B12" t="s">
        <v>65</v>
      </c>
      <c r="C12" t="s">
        <v>35</v>
      </c>
      <c r="D12" t="s">
        <v>41</v>
      </c>
      <c r="E12">
        <v>999</v>
      </c>
      <c r="F12">
        <v>499</v>
      </c>
      <c r="G12">
        <v>4.2</v>
      </c>
      <c r="H12">
        <v>620</v>
      </c>
      <c r="I12" t="s">
        <v>66</v>
      </c>
      <c r="J12" t="str">
        <f t="shared" si="0"/>
        <v>5</v>
      </c>
      <c r="K12" t="str">
        <f t="shared" si="1"/>
        <v>7</v>
      </c>
      <c r="L12">
        <f t="shared" si="2"/>
        <v>649.35</v>
      </c>
      <c r="M12">
        <f t="shared" si="3"/>
        <v>500</v>
      </c>
      <c r="N12">
        <f t="shared" si="4"/>
        <v>-150.35000000000002</v>
      </c>
      <c r="O12" s="2">
        <f t="shared" si="5"/>
        <v>-0.3013026052104209</v>
      </c>
      <c r="P12" t="s">
        <v>167</v>
      </c>
      <c r="Q12" t="s">
        <v>17</v>
      </c>
    </row>
    <row r="13" spans="1:17" x14ac:dyDescent="0.3">
      <c r="A13" t="s">
        <v>67</v>
      </c>
      <c r="B13" t="s">
        <v>155</v>
      </c>
      <c r="C13" t="s">
        <v>150</v>
      </c>
      <c r="D13" t="s">
        <v>69</v>
      </c>
      <c r="E13">
        <v>1199</v>
      </c>
      <c r="F13">
        <v>699</v>
      </c>
      <c r="G13">
        <v>4.0999999999999996</v>
      </c>
      <c r="H13">
        <v>540</v>
      </c>
      <c r="I13" t="s">
        <v>70</v>
      </c>
      <c r="J13" t="str">
        <f t="shared" si="0"/>
        <v>6</v>
      </c>
      <c r="K13" t="str">
        <f t="shared" si="1"/>
        <v>8</v>
      </c>
      <c r="L13">
        <f t="shared" si="2"/>
        <v>779.35</v>
      </c>
      <c r="M13">
        <f t="shared" si="3"/>
        <v>500</v>
      </c>
      <c r="N13">
        <f t="shared" si="4"/>
        <v>-80.350000000000023</v>
      </c>
      <c r="O13" s="2">
        <f t="shared" si="5"/>
        <v>-0.1149499284692418</v>
      </c>
      <c r="P13" t="s">
        <v>168</v>
      </c>
      <c r="Q13" t="s">
        <v>17</v>
      </c>
    </row>
    <row r="14" spans="1:17" x14ac:dyDescent="0.3">
      <c r="A14" t="s">
        <v>71</v>
      </c>
      <c r="B14" t="s">
        <v>156</v>
      </c>
      <c r="C14" t="s">
        <v>13</v>
      </c>
      <c r="D14" t="s">
        <v>73</v>
      </c>
      <c r="E14">
        <v>2499</v>
      </c>
      <c r="F14">
        <v>1199</v>
      </c>
      <c r="G14">
        <v>4.3</v>
      </c>
      <c r="H14">
        <v>380</v>
      </c>
      <c r="I14" t="s">
        <v>74</v>
      </c>
      <c r="J14" t="str">
        <f t="shared" si="0"/>
        <v>7</v>
      </c>
      <c r="K14" t="str">
        <f t="shared" si="1"/>
        <v>9</v>
      </c>
      <c r="L14">
        <f t="shared" si="2"/>
        <v>1624.3500000000001</v>
      </c>
      <c r="M14">
        <f t="shared" si="3"/>
        <v>1300</v>
      </c>
      <c r="N14">
        <f t="shared" si="4"/>
        <v>-425.35000000000014</v>
      </c>
      <c r="O14" s="2">
        <f t="shared" si="5"/>
        <v>-0.35475396163469569</v>
      </c>
      <c r="P14" t="s">
        <v>172</v>
      </c>
      <c r="Q14" t="s">
        <v>17</v>
      </c>
    </row>
    <row r="15" spans="1:17" x14ac:dyDescent="0.3">
      <c r="A15" t="s">
        <v>76</v>
      </c>
      <c r="B15" t="s">
        <v>77</v>
      </c>
      <c r="C15" t="s">
        <v>35</v>
      </c>
      <c r="D15" t="s">
        <v>36</v>
      </c>
      <c r="E15">
        <v>599</v>
      </c>
      <c r="F15">
        <v>349</v>
      </c>
      <c r="G15">
        <v>4.4000000000000004</v>
      </c>
      <c r="H15">
        <v>510</v>
      </c>
      <c r="I15" t="s">
        <v>78</v>
      </c>
      <c r="J15" t="str">
        <f t="shared" si="0"/>
        <v>4</v>
      </c>
      <c r="K15" t="str">
        <f t="shared" si="1"/>
        <v>6</v>
      </c>
      <c r="L15">
        <f t="shared" si="2"/>
        <v>389.35</v>
      </c>
      <c r="M15">
        <f t="shared" si="3"/>
        <v>250</v>
      </c>
      <c r="N15">
        <f t="shared" si="4"/>
        <v>-40.350000000000023</v>
      </c>
      <c r="O15" s="2">
        <f t="shared" si="5"/>
        <v>-0.11561604584527227</v>
      </c>
      <c r="P15" t="s">
        <v>169</v>
      </c>
      <c r="Q15" t="s">
        <v>17</v>
      </c>
    </row>
    <row r="16" spans="1:17" x14ac:dyDescent="0.3">
      <c r="A16" t="s">
        <v>79</v>
      </c>
      <c r="B16" t="s">
        <v>80</v>
      </c>
      <c r="C16" t="s">
        <v>46</v>
      </c>
      <c r="D16" t="s">
        <v>51</v>
      </c>
      <c r="E16">
        <v>499</v>
      </c>
      <c r="F16">
        <v>249</v>
      </c>
      <c r="G16">
        <v>4</v>
      </c>
      <c r="H16">
        <v>450</v>
      </c>
      <c r="I16" t="s">
        <v>81</v>
      </c>
      <c r="J16" t="str">
        <f t="shared" si="0"/>
        <v>5</v>
      </c>
      <c r="K16" t="str">
        <f t="shared" si="1"/>
        <v>7</v>
      </c>
      <c r="L16">
        <f t="shared" si="2"/>
        <v>324.35000000000002</v>
      </c>
      <c r="M16">
        <f t="shared" si="3"/>
        <v>250</v>
      </c>
      <c r="N16">
        <f t="shared" si="4"/>
        <v>-75.350000000000023</v>
      </c>
      <c r="O16" s="2">
        <f t="shared" si="5"/>
        <v>-0.30261044176706836</v>
      </c>
      <c r="P16" t="s">
        <v>167</v>
      </c>
      <c r="Q16" t="s">
        <v>17</v>
      </c>
    </row>
    <row r="17" spans="1:17" x14ac:dyDescent="0.3">
      <c r="A17" t="s">
        <v>82</v>
      </c>
      <c r="B17" t="s">
        <v>157</v>
      </c>
      <c r="C17" t="s">
        <v>56</v>
      </c>
      <c r="D17" t="s">
        <v>84</v>
      </c>
      <c r="E17">
        <v>399</v>
      </c>
      <c r="F17">
        <v>159</v>
      </c>
      <c r="G17">
        <v>4.2</v>
      </c>
      <c r="H17">
        <v>780</v>
      </c>
      <c r="I17" t="s">
        <v>85</v>
      </c>
      <c r="J17" t="str">
        <f t="shared" si="0"/>
        <v>4</v>
      </c>
      <c r="K17" t="str">
        <f t="shared" si="1"/>
        <v>6</v>
      </c>
      <c r="L17">
        <f t="shared" si="2"/>
        <v>259.35000000000002</v>
      </c>
      <c r="M17">
        <f t="shared" si="3"/>
        <v>240</v>
      </c>
      <c r="N17">
        <f t="shared" si="4"/>
        <v>-100.35000000000002</v>
      </c>
      <c r="O17" s="2">
        <f t="shared" si="5"/>
        <v>-0.63113207547169825</v>
      </c>
      <c r="P17" t="s">
        <v>169</v>
      </c>
      <c r="Q17" t="s">
        <v>17</v>
      </c>
    </row>
    <row r="18" spans="1:17" x14ac:dyDescent="0.3">
      <c r="A18" t="s">
        <v>86</v>
      </c>
      <c r="B18" t="s">
        <v>158</v>
      </c>
      <c r="C18" t="s">
        <v>51</v>
      </c>
      <c r="D18" t="s">
        <v>88</v>
      </c>
      <c r="E18">
        <v>1299</v>
      </c>
      <c r="F18">
        <v>699</v>
      </c>
      <c r="G18">
        <v>4.3</v>
      </c>
      <c r="H18">
        <v>620</v>
      </c>
      <c r="I18" t="s">
        <v>89</v>
      </c>
      <c r="J18" t="str">
        <f t="shared" si="0"/>
        <v>5</v>
      </c>
      <c r="K18" t="str">
        <f t="shared" si="1"/>
        <v>7</v>
      </c>
      <c r="L18">
        <f t="shared" si="2"/>
        <v>844.35</v>
      </c>
      <c r="M18">
        <f t="shared" si="3"/>
        <v>600</v>
      </c>
      <c r="N18">
        <f t="shared" si="4"/>
        <v>-145.35000000000002</v>
      </c>
      <c r="O18" s="2">
        <f t="shared" si="5"/>
        <v>-0.20793991416309016</v>
      </c>
      <c r="P18" t="s">
        <v>167</v>
      </c>
      <c r="Q18" t="s">
        <v>17</v>
      </c>
    </row>
    <row r="19" spans="1:17" x14ac:dyDescent="0.3">
      <c r="A19" t="s">
        <v>90</v>
      </c>
      <c r="B19" t="s">
        <v>91</v>
      </c>
      <c r="C19" t="s">
        <v>35</v>
      </c>
      <c r="D19" t="s">
        <v>41</v>
      </c>
      <c r="E19">
        <v>1499</v>
      </c>
      <c r="F19">
        <v>749</v>
      </c>
      <c r="G19">
        <v>4.4000000000000004</v>
      </c>
      <c r="H19">
        <v>530</v>
      </c>
      <c r="I19" t="s">
        <v>92</v>
      </c>
      <c r="J19" t="str">
        <f t="shared" si="0"/>
        <v>6</v>
      </c>
      <c r="K19" t="str">
        <f t="shared" si="1"/>
        <v>8</v>
      </c>
      <c r="L19">
        <f t="shared" si="2"/>
        <v>974.35</v>
      </c>
      <c r="M19">
        <f t="shared" si="3"/>
        <v>750</v>
      </c>
      <c r="N19">
        <f t="shared" si="4"/>
        <v>-225.35000000000002</v>
      </c>
      <c r="O19" s="2">
        <f t="shared" si="5"/>
        <v>-0.30086782376502008</v>
      </c>
      <c r="P19" t="s">
        <v>168</v>
      </c>
      <c r="Q19" t="s">
        <v>17</v>
      </c>
    </row>
    <row r="20" spans="1:17" x14ac:dyDescent="0.3">
      <c r="A20" t="s">
        <v>93</v>
      </c>
      <c r="B20" t="s">
        <v>159</v>
      </c>
      <c r="C20" t="s">
        <v>13</v>
      </c>
      <c r="D20" t="s">
        <v>95</v>
      </c>
      <c r="E20">
        <v>299</v>
      </c>
      <c r="F20">
        <v>149</v>
      </c>
      <c r="G20">
        <v>4.0999999999999996</v>
      </c>
      <c r="H20">
        <v>800</v>
      </c>
      <c r="I20" t="s">
        <v>96</v>
      </c>
      <c r="J20" t="str">
        <f t="shared" si="0"/>
        <v>3</v>
      </c>
      <c r="K20" t="str">
        <f t="shared" si="1"/>
        <v>5</v>
      </c>
      <c r="L20">
        <f t="shared" si="2"/>
        <v>194.35</v>
      </c>
      <c r="M20">
        <f t="shared" si="3"/>
        <v>150</v>
      </c>
      <c r="N20">
        <f t="shared" si="4"/>
        <v>-45.349999999999994</v>
      </c>
      <c r="O20" s="2">
        <f t="shared" si="5"/>
        <v>-0.30436241610738252</v>
      </c>
      <c r="P20" t="s">
        <v>170</v>
      </c>
      <c r="Q20" t="s">
        <v>17</v>
      </c>
    </row>
    <row r="21" spans="1:17" x14ac:dyDescent="0.3">
      <c r="A21" t="s">
        <v>97</v>
      </c>
      <c r="B21" t="s">
        <v>160</v>
      </c>
      <c r="C21" t="s">
        <v>56</v>
      </c>
      <c r="D21" t="s">
        <v>99</v>
      </c>
      <c r="E21">
        <v>999</v>
      </c>
      <c r="F21">
        <v>549</v>
      </c>
      <c r="G21">
        <v>4.2</v>
      </c>
      <c r="H21">
        <v>690</v>
      </c>
      <c r="I21" t="s">
        <v>100</v>
      </c>
      <c r="J21" t="str">
        <f t="shared" si="0"/>
        <v>5</v>
      </c>
      <c r="K21" t="str">
        <f t="shared" si="1"/>
        <v>7</v>
      </c>
      <c r="L21">
        <f t="shared" si="2"/>
        <v>649.35</v>
      </c>
      <c r="M21">
        <f t="shared" si="3"/>
        <v>450</v>
      </c>
      <c r="N21">
        <f t="shared" si="4"/>
        <v>-100.35000000000002</v>
      </c>
      <c r="O21" s="2">
        <f t="shared" si="5"/>
        <v>-0.18278688524590167</v>
      </c>
      <c r="P21" t="s">
        <v>167</v>
      </c>
      <c r="Q21" t="s">
        <v>17</v>
      </c>
    </row>
    <row r="22" spans="1:17" x14ac:dyDescent="0.3">
      <c r="A22" t="s">
        <v>101</v>
      </c>
      <c r="B22" t="s">
        <v>102</v>
      </c>
      <c r="C22" t="s">
        <v>46</v>
      </c>
      <c r="D22" t="s">
        <v>103</v>
      </c>
      <c r="E22">
        <v>699</v>
      </c>
      <c r="F22">
        <v>349</v>
      </c>
      <c r="G22">
        <v>4.5</v>
      </c>
      <c r="H22">
        <v>420</v>
      </c>
      <c r="I22" t="s">
        <v>104</v>
      </c>
      <c r="J22" t="str">
        <f t="shared" si="0"/>
        <v>6</v>
      </c>
      <c r="K22" t="str">
        <f t="shared" si="1"/>
        <v>8</v>
      </c>
      <c r="L22">
        <f t="shared" si="2"/>
        <v>454.35</v>
      </c>
      <c r="M22">
        <f t="shared" si="3"/>
        <v>350</v>
      </c>
      <c r="N22">
        <f t="shared" si="4"/>
        <v>-105.35000000000002</v>
      </c>
      <c r="O22" s="2">
        <f t="shared" si="5"/>
        <v>-0.30186246418338114</v>
      </c>
      <c r="P22" t="s">
        <v>168</v>
      </c>
      <c r="Q22" t="s">
        <v>17</v>
      </c>
    </row>
    <row r="23" spans="1:17" x14ac:dyDescent="0.3">
      <c r="A23" t="s">
        <v>105</v>
      </c>
      <c r="B23" t="s">
        <v>161</v>
      </c>
      <c r="C23" t="s">
        <v>107</v>
      </c>
      <c r="D23" t="s">
        <v>51</v>
      </c>
      <c r="E23">
        <v>199</v>
      </c>
      <c r="F23">
        <v>99</v>
      </c>
      <c r="G23">
        <v>4</v>
      </c>
      <c r="H23">
        <v>1150</v>
      </c>
      <c r="I23" t="s">
        <v>108</v>
      </c>
      <c r="J23" t="str">
        <f t="shared" si="0"/>
        <v>3</v>
      </c>
      <c r="K23" t="str">
        <f t="shared" si="1"/>
        <v>5</v>
      </c>
      <c r="L23">
        <f t="shared" si="2"/>
        <v>129.35</v>
      </c>
      <c r="M23">
        <f t="shared" si="3"/>
        <v>100</v>
      </c>
      <c r="N23">
        <f t="shared" si="4"/>
        <v>-30.349999999999994</v>
      </c>
      <c r="O23" s="2">
        <f t="shared" si="5"/>
        <v>-0.30656565656565649</v>
      </c>
      <c r="P23" t="s">
        <v>170</v>
      </c>
      <c r="Q23" t="s">
        <v>17</v>
      </c>
    </row>
    <row r="24" spans="1:17" x14ac:dyDescent="0.3">
      <c r="A24" t="s">
        <v>109</v>
      </c>
      <c r="B24" t="s">
        <v>110</v>
      </c>
      <c r="C24" t="s">
        <v>35</v>
      </c>
      <c r="D24" t="s">
        <v>36</v>
      </c>
      <c r="E24">
        <v>699</v>
      </c>
      <c r="F24">
        <v>349</v>
      </c>
      <c r="G24">
        <v>4.2</v>
      </c>
      <c r="H24">
        <v>590</v>
      </c>
      <c r="I24" t="s">
        <v>111</v>
      </c>
      <c r="J24" t="str">
        <f t="shared" si="0"/>
        <v>4</v>
      </c>
      <c r="K24" t="str">
        <f t="shared" si="1"/>
        <v>6</v>
      </c>
      <c r="L24">
        <f t="shared" si="2"/>
        <v>454.35</v>
      </c>
      <c r="M24">
        <f t="shared" si="3"/>
        <v>350</v>
      </c>
      <c r="N24">
        <f t="shared" si="4"/>
        <v>-105.35000000000002</v>
      </c>
      <c r="O24" s="2">
        <f t="shared" si="5"/>
        <v>-0.30186246418338114</v>
      </c>
      <c r="P24" t="s">
        <v>169</v>
      </c>
      <c r="Q24" t="s">
        <v>17</v>
      </c>
    </row>
    <row r="25" spans="1:17" x14ac:dyDescent="0.3">
      <c r="A25" t="s">
        <v>112</v>
      </c>
      <c r="B25" t="s">
        <v>162</v>
      </c>
      <c r="C25" t="s">
        <v>150</v>
      </c>
      <c r="D25" t="s">
        <v>114</v>
      </c>
      <c r="E25">
        <v>699</v>
      </c>
      <c r="F25">
        <v>299</v>
      </c>
      <c r="G25">
        <v>4.3</v>
      </c>
      <c r="H25">
        <v>880</v>
      </c>
      <c r="I25" t="s">
        <v>115</v>
      </c>
      <c r="J25" t="str">
        <f t="shared" si="0"/>
        <v>4</v>
      </c>
      <c r="K25" t="str">
        <f t="shared" si="1"/>
        <v>6</v>
      </c>
      <c r="L25">
        <f t="shared" si="2"/>
        <v>454.35</v>
      </c>
      <c r="M25">
        <f t="shared" si="3"/>
        <v>400</v>
      </c>
      <c r="N25">
        <f t="shared" si="4"/>
        <v>-155.35000000000002</v>
      </c>
      <c r="O25" s="2">
        <f t="shared" si="5"/>
        <v>-0.51956521739130446</v>
      </c>
      <c r="P25" t="s">
        <v>169</v>
      </c>
      <c r="Q25" t="s">
        <v>17</v>
      </c>
    </row>
    <row r="26" spans="1:17" x14ac:dyDescent="0.3">
      <c r="A26" t="s">
        <v>116</v>
      </c>
      <c r="B26" t="s">
        <v>163</v>
      </c>
      <c r="C26" t="s">
        <v>13</v>
      </c>
      <c r="D26" t="s">
        <v>118</v>
      </c>
      <c r="E26">
        <v>899</v>
      </c>
      <c r="F26">
        <v>449</v>
      </c>
      <c r="G26">
        <v>4.4000000000000004</v>
      </c>
      <c r="H26">
        <v>710</v>
      </c>
      <c r="I26" t="s">
        <v>119</v>
      </c>
      <c r="J26" t="str">
        <f t="shared" si="0"/>
        <v>6</v>
      </c>
      <c r="K26" t="str">
        <f t="shared" si="1"/>
        <v>8</v>
      </c>
      <c r="L26">
        <f t="shared" si="2"/>
        <v>584.35</v>
      </c>
      <c r="M26">
        <f t="shared" si="3"/>
        <v>450</v>
      </c>
      <c r="N26">
        <f t="shared" si="4"/>
        <v>-135.35000000000002</v>
      </c>
      <c r="O26" s="2">
        <f t="shared" si="5"/>
        <v>-0.30144766146993324</v>
      </c>
      <c r="P26" t="s">
        <v>168</v>
      </c>
      <c r="Q26" t="s">
        <v>17</v>
      </c>
    </row>
    <row r="27" spans="1:17" x14ac:dyDescent="0.3">
      <c r="A27" t="s">
        <v>120</v>
      </c>
      <c r="B27" t="s">
        <v>121</v>
      </c>
      <c r="C27" t="s">
        <v>46</v>
      </c>
      <c r="D27" t="s">
        <v>122</v>
      </c>
      <c r="E27">
        <v>599</v>
      </c>
      <c r="F27">
        <v>299</v>
      </c>
      <c r="G27">
        <v>4.5</v>
      </c>
      <c r="H27">
        <v>650</v>
      </c>
      <c r="I27" t="s">
        <v>123</v>
      </c>
      <c r="J27" t="str">
        <f t="shared" si="0"/>
        <v>3</v>
      </c>
      <c r="K27" t="str">
        <f t="shared" si="1"/>
        <v>5</v>
      </c>
      <c r="L27">
        <f t="shared" si="2"/>
        <v>389.35</v>
      </c>
      <c r="M27">
        <f t="shared" si="3"/>
        <v>300</v>
      </c>
      <c r="N27">
        <f t="shared" si="4"/>
        <v>-90.350000000000023</v>
      </c>
      <c r="O27" s="2">
        <f t="shared" si="5"/>
        <v>-0.30217391304347835</v>
      </c>
      <c r="P27" t="s">
        <v>170</v>
      </c>
      <c r="Q27" t="s">
        <v>17</v>
      </c>
    </row>
    <row r="28" spans="1:17" x14ac:dyDescent="0.3">
      <c r="A28" t="s">
        <v>124</v>
      </c>
      <c r="B28" t="s">
        <v>164</v>
      </c>
      <c r="C28" t="s">
        <v>56</v>
      </c>
      <c r="D28" t="s">
        <v>126</v>
      </c>
      <c r="E28">
        <v>799</v>
      </c>
      <c r="F28">
        <v>399</v>
      </c>
      <c r="G28">
        <v>4.3</v>
      </c>
      <c r="H28">
        <v>510</v>
      </c>
      <c r="I28" t="s">
        <v>127</v>
      </c>
      <c r="J28" t="str">
        <f t="shared" si="0"/>
        <v>4</v>
      </c>
      <c r="K28" t="str">
        <f t="shared" si="1"/>
        <v>6</v>
      </c>
      <c r="L28">
        <f t="shared" si="2"/>
        <v>519.35</v>
      </c>
      <c r="M28">
        <f t="shared" si="3"/>
        <v>400</v>
      </c>
      <c r="N28">
        <f t="shared" si="4"/>
        <v>-120.35000000000002</v>
      </c>
      <c r="O28" s="2">
        <f t="shared" si="5"/>
        <v>-0.3016290726817043</v>
      </c>
      <c r="P28" t="s">
        <v>169</v>
      </c>
      <c r="Q28" t="s">
        <v>17</v>
      </c>
    </row>
    <row r="29" spans="1:17" x14ac:dyDescent="0.3">
      <c r="A29" t="s">
        <v>128</v>
      </c>
      <c r="B29" t="s">
        <v>165</v>
      </c>
      <c r="C29" t="s">
        <v>150</v>
      </c>
      <c r="D29" t="s">
        <v>31</v>
      </c>
      <c r="E29">
        <v>899</v>
      </c>
      <c r="F29">
        <v>499</v>
      </c>
      <c r="G29">
        <v>4.0999999999999996</v>
      </c>
      <c r="H29">
        <v>720</v>
      </c>
      <c r="I29" t="s">
        <v>130</v>
      </c>
      <c r="J29" t="str">
        <f t="shared" si="0"/>
        <v>5</v>
      </c>
      <c r="K29" t="str">
        <f t="shared" si="1"/>
        <v>7</v>
      </c>
      <c r="L29">
        <f t="shared" si="2"/>
        <v>584.35</v>
      </c>
      <c r="M29">
        <f t="shared" si="3"/>
        <v>400</v>
      </c>
      <c r="N29">
        <f t="shared" si="4"/>
        <v>-85.350000000000023</v>
      </c>
      <c r="O29" s="2">
        <f t="shared" si="5"/>
        <v>-0.17104208416833672</v>
      </c>
      <c r="P29" t="s">
        <v>167</v>
      </c>
      <c r="Q29" t="s">
        <v>17</v>
      </c>
    </row>
    <row r="30" spans="1:17" x14ac:dyDescent="0.3">
      <c r="A30" t="s">
        <v>131</v>
      </c>
      <c r="B30" t="s">
        <v>166</v>
      </c>
      <c r="C30" t="s">
        <v>61</v>
      </c>
      <c r="D30" t="s">
        <v>133</v>
      </c>
      <c r="E30">
        <v>1299</v>
      </c>
      <c r="F30">
        <v>649</v>
      </c>
      <c r="G30">
        <v>4.4000000000000004</v>
      </c>
      <c r="H30">
        <v>580</v>
      </c>
      <c r="I30" t="s">
        <v>134</v>
      </c>
      <c r="J30" t="str">
        <f t="shared" si="0"/>
        <v>4</v>
      </c>
      <c r="K30" t="str">
        <f t="shared" si="1"/>
        <v>6</v>
      </c>
      <c r="L30">
        <f t="shared" si="2"/>
        <v>844.35</v>
      </c>
      <c r="M30">
        <f t="shared" si="3"/>
        <v>650</v>
      </c>
      <c r="N30">
        <f t="shared" si="4"/>
        <v>-195.35000000000002</v>
      </c>
      <c r="O30" s="2">
        <f t="shared" si="5"/>
        <v>-0.30100154083204933</v>
      </c>
      <c r="P30" t="s">
        <v>169</v>
      </c>
      <c r="Q30" t="s">
        <v>17</v>
      </c>
    </row>
    <row r="31" spans="1:17" x14ac:dyDescent="0.3">
      <c r="A31" t="s">
        <v>135</v>
      </c>
      <c r="B31" t="s">
        <v>136</v>
      </c>
      <c r="C31" t="s">
        <v>35</v>
      </c>
      <c r="D31" t="s">
        <v>137</v>
      </c>
      <c r="E31">
        <v>499</v>
      </c>
      <c r="F31">
        <v>229</v>
      </c>
      <c r="G31">
        <v>4.2</v>
      </c>
      <c r="H31">
        <v>450</v>
      </c>
      <c r="I31" t="s">
        <v>138</v>
      </c>
      <c r="J31" t="str">
        <f t="shared" si="0"/>
        <v>3</v>
      </c>
      <c r="K31" t="str">
        <f t="shared" si="1"/>
        <v>5</v>
      </c>
      <c r="L31">
        <f t="shared" si="2"/>
        <v>324.35000000000002</v>
      </c>
      <c r="M31">
        <f t="shared" si="3"/>
        <v>270</v>
      </c>
      <c r="N31">
        <f t="shared" si="4"/>
        <v>-95.350000000000023</v>
      </c>
      <c r="O31" s="2">
        <f t="shared" si="5"/>
        <v>-0.41637554585152847</v>
      </c>
      <c r="P31" t="s">
        <v>170</v>
      </c>
      <c r="Q31" t="s">
        <v>17</v>
      </c>
    </row>
    <row r="34" spans="9:15" x14ac:dyDescent="0.3">
      <c r="N34" s="2"/>
      <c r="O34"/>
    </row>
    <row r="35" spans="9:15" x14ac:dyDescent="0.3">
      <c r="N35" s="2"/>
      <c r="O35" s="1"/>
    </row>
    <row r="36" spans="9:15" x14ac:dyDescent="0.3">
      <c r="I36" s="1"/>
    </row>
    <row r="37" spans="9:15" x14ac:dyDescent="0.3">
      <c r="N37" s="2"/>
      <c r="O37"/>
    </row>
    <row r="38" spans="9:15" x14ac:dyDescent="0.3">
      <c r="N38" s="2"/>
      <c r="O38"/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4F05F-158D-4B4A-87F3-7FC4AFFD0AA4}">
  <dimension ref="A1:U31"/>
  <sheetViews>
    <sheetView zoomScale="70" zoomScaleNormal="70" workbookViewId="0">
      <selection activeCell="A2" sqref="A2"/>
    </sheetView>
  </sheetViews>
  <sheetFormatPr defaultRowHeight="14.4" x14ac:dyDescent="0.3"/>
  <cols>
    <col min="1" max="1" width="17.5546875" customWidth="1"/>
    <col min="2" max="2" width="18.5546875" customWidth="1"/>
    <col min="3" max="3" width="18.33203125" customWidth="1"/>
    <col min="4" max="4" width="17.6640625" customWidth="1"/>
    <col min="5" max="5" width="17.5546875" customWidth="1"/>
    <col min="6" max="6" width="16.6640625" customWidth="1"/>
  </cols>
  <sheetData>
    <row r="1" spans="1:21" ht="15" thickBot="1" x14ac:dyDescent="0.35">
      <c r="A1" s="23" t="s">
        <v>339</v>
      </c>
      <c r="B1" s="23" t="s">
        <v>179</v>
      </c>
      <c r="C1" s="23" t="s">
        <v>180</v>
      </c>
      <c r="D1" s="23" t="s">
        <v>181</v>
      </c>
      <c r="E1" s="23" t="s">
        <v>182</v>
      </c>
      <c r="F1" s="23" t="s">
        <v>183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1:21" x14ac:dyDescent="0.3">
      <c r="A2" s="13" t="s">
        <v>213</v>
      </c>
      <c r="B2" s="14" t="s">
        <v>184</v>
      </c>
      <c r="C2" s="14" t="s">
        <v>243</v>
      </c>
      <c r="D2" s="14" t="s">
        <v>254</v>
      </c>
      <c r="E2" s="14" t="s">
        <v>254</v>
      </c>
      <c r="F2" s="14" t="s">
        <v>325</v>
      </c>
    </row>
    <row r="3" spans="1:21" x14ac:dyDescent="0.3">
      <c r="A3" s="15" t="s">
        <v>214</v>
      </c>
      <c r="B3" s="16" t="s">
        <v>185</v>
      </c>
      <c r="C3" s="16" t="s">
        <v>244</v>
      </c>
      <c r="D3" s="16" t="s">
        <v>255</v>
      </c>
      <c r="E3" s="16" t="s">
        <v>256</v>
      </c>
      <c r="F3" s="16" t="s">
        <v>326</v>
      </c>
    </row>
    <row r="4" spans="1:21" x14ac:dyDescent="0.3">
      <c r="A4" s="17" t="s">
        <v>215</v>
      </c>
      <c r="B4" s="18" t="s">
        <v>186</v>
      </c>
      <c r="C4" s="18" t="s">
        <v>243</v>
      </c>
      <c r="D4" s="18" t="s">
        <v>246</v>
      </c>
      <c r="E4" s="18" t="s">
        <v>247</v>
      </c>
      <c r="F4" s="18" t="s">
        <v>326</v>
      </c>
    </row>
    <row r="5" spans="1:21" x14ac:dyDescent="0.3">
      <c r="A5" s="15" t="s">
        <v>216</v>
      </c>
      <c r="B5" s="16" t="s">
        <v>187</v>
      </c>
      <c r="C5" s="16" t="s">
        <v>243</v>
      </c>
      <c r="D5" s="16" t="s">
        <v>248</v>
      </c>
      <c r="E5" s="16" t="s">
        <v>249</v>
      </c>
      <c r="F5" s="16" t="s">
        <v>326</v>
      </c>
    </row>
    <row r="6" spans="1:21" x14ac:dyDescent="0.3">
      <c r="A6" s="17" t="s">
        <v>217</v>
      </c>
      <c r="B6" s="18" t="s">
        <v>188</v>
      </c>
      <c r="C6" s="18" t="s">
        <v>243</v>
      </c>
      <c r="D6" s="18" t="s">
        <v>248</v>
      </c>
      <c r="E6" s="18" t="s">
        <v>249</v>
      </c>
      <c r="F6" s="18" t="s">
        <v>326</v>
      </c>
    </row>
    <row r="7" spans="1:21" x14ac:dyDescent="0.3">
      <c r="A7" s="15" t="s">
        <v>218</v>
      </c>
      <c r="B7" s="16" t="s">
        <v>189</v>
      </c>
      <c r="C7" s="16" t="s">
        <v>243</v>
      </c>
      <c r="D7" s="16" t="s">
        <v>246</v>
      </c>
      <c r="E7" s="16" t="s">
        <v>247</v>
      </c>
      <c r="F7" s="16" t="s">
        <v>326</v>
      </c>
    </row>
    <row r="8" spans="1:21" x14ac:dyDescent="0.3">
      <c r="A8" s="17" t="s">
        <v>219</v>
      </c>
      <c r="B8" s="18" t="s">
        <v>190</v>
      </c>
      <c r="C8" s="18" t="s">
        <v>244</v>
      </c>
      <c r="D8" s="18" t="s">
        <v>246</v>
      </c>
      <c r="E8" s="18" t="s">
        <v>247</v>
      </c>
      <c r="F8" s="18" t="s">
        <v>325</v>
      </c>
    </row>
    <row r="9" spans="1:21" x14ac:dyDescent="0.3">
      <c r="A9" s="15" t="s">
        <v>220</v>
      </c>
      <c r="B9" s="16" t="s">
        <v>191</v>
      </c>
      <c r="C9" s="16" t="s">
        <v>244</v>
      </c>
      <c r="D9" s="16" t="s">
        <v>250</v>
      </c>
      <c r="E9" s="16" t="s">
        <v>251</v>
      </c>
      <c r="F9" s="16" t="s">
        <v>326</v>
      </c>
    </row>
    <row r="10" spans="1:21" x14ac:dyDescent="0.3">
      <c r="A10" s="17" t="s">
        <v>221</v>
      </c>
      <c r="B10" s="18" t="s">
        <v>192</v>
      </c>
      <c r="C10" s="18" t="s">
        <v>243</v>
      </c>
      <c r="D10" s="18" t="s">
        <v>255</v>
      </c>
      <c r="E10" s="18" t="s">
        <v>256</v>
      </c>
      <c r="F10" s="18" t="s">
        <v>325</v>
      </c>
    </row>
    <row r="11" spans="1:21" x14ac:dyDescent="0.3">
      <c r="A11" s="15" t="s">
        <v>222</v>
      </c>
      <c r="B11" s="16" t="s">
        <v>193</v>
      </c>
      <c r="C11" s="16" t="s">
        <v>244</v>
      </c>
      <c r="D11" s="16" t="s">
        <v>252</v>
      </c>
      <c r="E11" s="16" t="s">
        <v>253</v>
      </c>
      <c r="F11" s="16" t="s">
        <v>326</v>
      </c>
    </row>
    <row r="12" spans="1:21" x14ac:dyDescent="0.3">
      <c r="A12" s="17" t="s">
        <v>223</v>
      </c>
      <c r="B12" s="18" t="s">
        <v>194</v>
      </c>
      <c r="C12" s="18" t="s">
        <v>243</v>
      </c>
      <c r="D12" s="18" t="s">
        <v>248</v>
      </c>
      <c r="E12" s="18" t="s">
        <v>249</v>
      </c>
      <c r="F12" s="18" t="s">
        <v>326</v>
      </c>
    </row>
    <row r="13" spans="1:21" x14ac:dyDescent="0.3">
      <c r="A13" s="15" t="s">
        <v>224</v>
      </c>
      <c r="B13" s="16" t="s">
        <v>195</v>
      </c>
      <c r="C13" s="16" t="s">
        <v>243</v>
      </c>
      <c r="D13" s="16" t="s">
        <v>246</v>
      </c>
      <c r="E13" s="16" t="s">
        <v>247</v>
      </c>
      <c r="F13" s="16" t="s">
        <v>326</v>
      </c>
    </row>
    <row r="14" spans="1:21" x14ac:dyDescent="0.3">
      <c r="A14" s="17" t="s">
        <v>225</v>
      </c>
      <c r="B14" s="18" t="s">
        <v>196</v>
      </c>
      <c r="C14" s="18" t="s">
        <v>244</v>
      </c>
      <c r="D14" s="18" t="s">
        <v>254</v>
      </c>
      <c r="E14" s="18" t="s">
        <v>254</v>
      </c>
      <c r="F14" s="18" t="s">
        <v>326</v>
      </c>
    </row>
    <row r="15" spans="1:21" x14ac:dyDescent="0.3">
      <c r="A15" s="15" t="s">
        <v>226</v>
      </c>
      <c r="B15" s="16" t="s">
        <v>197</v>
      </c>
      <c r="C15" s="16" t="s">
        <v>244</v>
      </c>
      <c r="D15" s="16" t="s">
        <v>254</v>
      </c>
      <c r="E15" s="16" t="s">
        <v>254</v>
      </c>
      <c r="F15" s="16" t="s">
        <v>325</v>
      </c>
    </row>
    <row r="16" spans="1:21" x14ac:dyDescent="0.3">
      <c r="A16" s="17" t="s">
        <v>227</v>
      </c>
      <c r="B16" s="18" t="s">
        <v>198</v>
      </c>
      <c r="C16" s="18" t="s">
        <v>244</v>
      </c>
      <c r="D16" s="18" t="s">
        <v>250</v>
      </c>
      <c r="E16" s="18" t="s">
        <v>251</v>
      </c>
      <c r="F16" s="18" t="s">
        <v>326</v>
      </c>
    </row>
    <row r="17" spans="1:6" x14ac:dyDescent="0.3">
      <c r="A17" s="15" t="s">
        <v>228</v>
      </c>
      <c r="B17" s="16" t="s">
        <v>199</v>
      </c>
      <c r="C17" s="16" t="s">
        <v>244</v>
      </c>
      <c r="D17" s="16" t="s">
        <v>248</v>
      </c>
      <c r="E17" s="16" t="s">
        <v>249</v>
      </c>
      <c r="F17" s="16" t="s">
        <v>325</v>
      </c>
    </row>
    <row r="18" spans="1:6" x14ac:dyDescent="0.3">
      <c r="A18" s="17" t="s">
        <v>229</v>
      </c>
      <c r="B18" s="18" t="s">
        <v>200</v>
      </c>
      <c r="C18" s="18" t="s">
        <v>244</v>
      </c>
      <c r="D18" s="18" t="s">
        <v>255</v>
      </c>
      <c r="E18" s="18" t="s">
        <v>256</v>
      </c>
      <c r="F18" s="18" t="s">
        <v>326</v>
      </c>
    </row>
    <row r="19" spans="1:6" x14ac:dyDescent="0.3">
      <c r="A19" s="15" t="s">
        <v>230</v>
      </c>
      <c r="B19" s="16" t="s">
        <v>201</v>
      </c>
      <c r="C19" s="16" t="s">
        <v>243</v>
      </c>
      <c r="D19" s="16" t="s">
        <v>250</v>
      </c>
      <c r="E19" s="16" t="s">
        <v>251</v>
      </c>
      <c r="F19" s="16" t="s">
        <v>325</v>
      </c>
    </row>
    <row r="20" spans="1:6" x14ac:dyDescent="0.3">
      <c r="A20" s="17" t="s">
        <v>231</v>
      </c>
      <c r="B20" s="18" t="s">
        <v>202</v>
      </c>
      <c r="C20" s="18" t="s">
        <v>243</v>
      </c>
      <c r="D20" s="18" t="s">
        <v>246</v>
      </c>
      <c r="E20" s="18" t="s">
        <v>247</v>
      </c>
      <c r="F20" s="18" t="s">
        <v>326</v>
      </c>
    </row>
    <row r="21" spans="1:6" x14ac:dyDescent="0.3">
      <c r="A21" s="15" t="s">
        <v>232</v>
      </c>
      <c r="B21" s="16" t="s">
        <v>203</v>
      </c>
      <c r="C21" s="16" t="s">
        <v>244</v>
      </c>
      <c r="D21" s="16" t="s">
        <v>255</v>
      </c>
      <c r="E21" s="16" t="s">
        <v>256</v>
      </c>
      <c r="F21" s="16" t="s">
        <v>325</v>
      </c>
    </row>
    <row r="22" spans="1:6" x14ac:dyDescent="0.3">
      <c r="A22" s="17" t="s">
        <v>233</v>
      </c>
      <c r="B22" s="18" t="s">
        <v>204</v>
      </c>
      <c r="C22" s="18" t="s">
        <v>243</v>
      </c>
      <c r="D22" s="18" t="s">
        <v>250</v>
      </c>
      <c r="E22" s="18" t="s">
        <v>251</v>
      </c>
      <c r="F22" s="18" t="s">
        <v>326</v>
      </c>
    </row>
    <row r="23" spans="1:6" x14ac:dyDescent="0.3">
      <c r="A23" s="15" t="s">
        <v>234</v>
      </c>
      <c r="B23" s="16" t="s">
        <v>205</v>
      </c>
      <c r="C23" s="16" t="s">
        <v>243</v>
      </c>
      <c r="D23" s="16" t="s">
        <v>255</v>
      </c>
      <c r="E23" s="16" t="s">
        <v>256</v>
      </c>
      <c r="F23" s="16" t="s">
        <v>326</v>
      </c>
    </row>
    <row r="24" spans="1:6" x14ac:dyDescent="0.3">
      <c r="A24" s="17" t="s">
        <v>235</v>
      </c>
      <c r="B24" s="18" t="s">
        <v>206</v>
      </c>
      <c r="C24" s="18" t="s">
        <v>243</v>
      </c>
      <c r="D24" s="18" t="s">
        <v>250</v>
      </c>
      <c r="E24" s="18" t="s">
        <v>251</v>
      </c>
      <c r="F24" s="18" t="s">
        <v>325</v>
      </c>
    </row>
    <row r="25" spans="1:6" x14ac:dyDescent="0.3">
      <c r="A25" s="15" t="s">
        <v>236</v>
      </c>
      <c r="B25" s="16" t="s">
        <v>207</v>
      </c>
      <c r="C25" s="16" t="s">
        <v>244</v>
      </c>
      <c r="D25" s="16" t="s">
        <v>248</v>
      </c>
      <c r="E25" s="16" t="s">
        <v>249</v>
      </c>
      <c r="F25" s="16" t="s">
        <v>326</v>
      </c>
    </row>
    <row r="26" spans="1:6" x14ac:dyDescent="0.3">
      <c r="A26" s="17" t="s">
        <v>237</v>
      </c>
      <c r="B26" s="18" t="s">
        <v>208</v>
      </c>
      <c r="C26" s="18" t="s">
        <v>244</v>
      </c>
      <c r="D26" s="18" t="s">
        <v>246</v>
      </c>
      <c r="E26" s="18" t="s">
        <v>247</v>
      </c>
      <c r="F26" s="18" t="s">
        <v>325</v>
      </c>
    </row>
    <row r="27" spans="1:6" x14ac:dyDescent="0.3">
      <c r="A27" s="15" t="s">
        <v>238</v>
      </c>
      <c r="B27" s="16" t="s">
        <v>209</v>
      </c>
      <c r="C27" s="16" t="s">
        <v>244</v>
      </c>
      <c r="D27" s="16" t="s">
        <v>248</v>
      </c>
      <c r="E27" s="16" t="s">
        <v>249</v>
      </c>
      <c r="F27" s="16" t="s">
        <v>325</v>
      </c>
    </row>
    <row r="28" spans="1:6" x14ac:dyDescent="0.3">
      <c r="A28" s="17" t="s">
        <v>239</v>
      </c>
      <c r="B28" s="18" t="s">
        <v>210</v>
      </c>
      <c r="C28" s="18" t="s">
        <v>243</v>
      </c>
      <c r="D28" s="18" t="s">
        <v>255</v>
      </c>
      <c r="E28" s="18" t="s">
        <v>256</v>
      </c>
      <c r="F28" s="18" t="s">
        <v>325</v>
      </c>
    </row>
    <row r="29" spans="1:6" x14ac:dyDescent="0.3">
      <c r="A29" s="15" t="s">
        <v>240</v>
      </c>
      <c r="B29" s="16" t="s">
        <v>211</v>
      </c>
      <c r="C29" s="16" t="s">
        <v>243</v>
      </c>
      <c r="D29" s="16" t="s">
        <v>248</v>
      </c>
      <c r="E29" s="16" t="s">
        <v>249</v>
      </c>
      <c r="F29" s="16" t="s">
        <v>326</v>
      </c>
    </row>
    <row r="30" spans="1:6" x14ac:dyDescent="0.3">
      <c r="A30" s="17" t="s">
        <v>241</v>
      </c>
      <c r="B30" s="18" t="s">
        <v>212</v>
      </c>
      <c r="C30" s="18" t="s">
        <v>244</v>
      </c>
      <c r="D30" s="18" t="s">
        <v>246</v>
      </c>
      <c r="E30" s="18" t="s">
        <v>247</v>
      </c>
      <c r="F30" s="18" t="s">
        <v>326</v>
      </c>
    </row>
    <row r="31" spans="1:6" x14ac:dyDescent="0.3">
      <c r="A31" s="15" t="s">
        <v>242</v>
      </c>
      <c r="B31" s="16" t="s">
        <v>245</v>
      </c>
      <c r="C31" s="16" t="s">
        <v>243</v>
      </c>
      <c r="D31" s="16" t="s">
        <v>252</v>
      </c>
      <c r="E31" s="16" t="s">
        <v>253</v>
      </c>
      <c r="F31" s="16" t="s">
        <v>326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E9BAE-31EC-432F-97D8-A47114CFFAA4}">
  <dimension ref="A1:B7"/>
  <sheetViews>
    <sheetView workbookViewId="0">
      <selection activeCell="A2" sqref="A2"/>
    </sheetView>
  </sheetViews>
  <sheetFormatPr defaultRowHeight="14.4" x14ac:dyDescent="0.3"/>
  <cols>
    <col min="1" max="1" width="17.88671875" customWidth="1"/>
    <col min="2" max="2" width="18" customWidth="1"/>
  </cols>
  <sheetData>
    <row r="1" spans="1:2" x14ac:dyDescent="0.3">
      <c r="A1" s="8" t="s">
        <v>181</v>
      </c>
      <c r="B1" s="8" t="s">
        <v>182</v>
      </c>
    </row>
    <row r="2" spans="1:2" x14ac:dyDescent="0.3">
      <c r="A2" s="9" t="s">
        <v>246</v>
      </c>
      <c r="B2" s="9" t="s">
        <v>247</v>
      </c>
    </row>
    <row r="3" spans="1:2" x14ac:dyDescent="0.3">
      <c r="A3" s="9" t="s">
        <v>248</v>
      </c>
      <c r="B3" s="9" t="s">
        <v>249</v>
      </c>
    </row>
    <row r="4" spans="1:2" x14ac:dyDescent="0.3">
      <c r="A4" s="9" t="s">
        <v>250</v>
      </c>
      <c r="B4" s="9" t="s">
        <v>251</v>
      </c>
    </row>
    <row r="5" spans="1:2" x14ac:dyDescent="0.3">
      <c r="A5" s="9" t="s">
        <v>252</v>
      </c>
      <c r="B5" s="9" t="s">
        <v>253</v>
      </c>
    </row>
    <row r="6" spans="1:2" x14ac:dyDescent="0.3">
      <c r="A6" s="9" t="s">
        <v>254</v>
      </c>
      <c r="B6" s="9" t="s">
        <v>254</v>
      </c>
    </row>
    <row r="7" spans="1:2" x14ac:dyDescent="0.3">
      <c r="A7" s="9" t="s">
        <v>255</v>
      </c>
      <c r="B7" s="9" t="s">
        <v>256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F4D3B-F973-45B0-806E-7A5592AE8CF3}">
  <dimension ref="A3:B12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20.77734375" bestFit="1" customWidth="1"/>
  </cols>
  <sheetData>
    <row r="3" spans="1:2" x14ac:dyDescent="0.3">
      <c r="A3" s="10" t="s">
        <v>332</v>
      </c>
      <c r="B3" t="s">
        <v>334</v>
      </c>
    </row>
    <row r="4" spans="1:2" x14ac:dyDescent="0.3">
      <c r="A4" s="11" t="s">
        <v>51</v>
      </c>
      <c r="B4">
        <v>4893</v>
      </c>
    </row>
    <row r="5" spans="1:2" x14ac:dyDescent="0.3">
      <c r="A5" s="11" t="s">
        <v>107</v>
      </c>
      <c r="B5">
        <v>99</v>
      </c>
    </row>
    <row r="6" spans="1:2" x14ac:dyDescent="0.3">
      <c r="A6" s="11" t="s">
        <v>13</v>
      </c>
      <c r="B6">
        <v>10106</v>
      </c>
    </row>
    <row r="7" spans="1:2" x14ac:dyDescent="0.3">
      <c r="A7" s="11" t="s">
        <v>56</v>
      </c>
      <c r="B7">
        <v>6797</v>
      </c>
    </row>
    <row r="8" spans="1:2" x14ac:dyDescent="0.3">
      <c r="A8" s="11" t="s">
        <v>35</v>
      </c>
      <c r="B8">
        <v>12421</v>
      </c>
    </row>
    <row r="9" spans="1:2" x14ac:dyDescent="0.3">
      <c r="A9" s="11" t="s">
        <v>61</v>
      </c>
      <c r="B9">
        <v>1972</v>
      </c>
    </row>
    <row r="10" spans="1:2" x14ac:dyDescent="0.3">
      <c r="A10" s="11" t="s">
        <v>46</v>
      </c>
      <c r="B10">
        <v>6110</v>
      </c>
    </row>
    <row r="11" spans="1:2" x14ac:dyDescent="0.3">
      <c r="A11" s="11" t="s">
        <v>150</v>
      </c>
      <c r="B11">
        <v>5888</v>
      </c>
    </row>
    <row r="12" spans="1:2" x14ac:dyDescent="0.3">
      <c r="A12" s="11" t="s">
        <v>333</v>
      </c>
      <c r="B12">
        <v>48286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E7157-B2D4-48AA-9CB6-1245159A7AEE}">
  <dimension ref="A1:K31"/>
  <sheetViews>
    <sheetView zoomScale="55" zoomScaleNormal="55" workbookViewId="0">
      <selection activeCell="A2" sqref="A2"/>
    </sheetView>
  </sheetViews>
  <sheetFormatPr defaultRowHeight="14.4" x14ac:dyDescent="0.3"/>
  <cols>
    <col min="1" max="2" width="18.21875" customWidth="1"/>
    <col min="3" max="3" width="30.44140625" style="12" customWidth="1"/>
    <col min="4" max="4" width="15" customWidth="1"/>
    <col min="5" max="5" width="17.88671875" customWidth="1"/>
    <col min="6" max="6" width="20.44140625" customWidth="1"/>
    <col min="7" max="7" width="18.21875" customWidth="1"/>
    <col min="8" max="8" width="24" customWidth="1"/>
    <col min="9" max="9" width="20.77734375" customWidth="1"/>
    <col min="10" max="10" width="18.21875" customWidth="1"/>
    <col min="11" max="11" width="17.77734375" customWidth="1"/>
  </cols>
  <sheetData>
    <row r="1" spans="1:11" x14ac:dyDescent="0.3">
      <c r="A1" s="21" t="s">
        <v>257</v>
      </c>
      <c r="B1" s="21" t="s">
        <v>258</v>
      </c>
      <c r="C1" s="22" t="s">
        <v>339</v>
      </c>
      <c r="D1" s="21" t="s">
        <v>0</v>
      </c>
      <c r="E1" s="21" t="s">
        <v>259</v>
      </c>
      <c r="F1" s="21" t="s">
        <v>260</v>
      </c>
      <c r="G1" s="21" t="s">
        <v>261</v>
      </c>
      <c r="H1" s="21" t="s">
        <v>317</v>
      </c>
      <c r="I1" s="21" t="s">
        <v>318</v>
      </c>
      <c r="J1" s="21" t="s">
        <v>319</v>
      </c>
      <c r="K1" s="21" t="s">
        <v>320</v>
      </c>
    </row>
    <row r="2" spans="1:11" x14ac:dyDescent="0.3">
      <c r="A2" s="18" t="s">
        <v>262</v>
      </c>
      <c r="B2" s="19">
        <v>46079</v>
      </c>
      <c r="C2" s="17" t="s">
        <v>213</v>
      </c>
      <c r="D2" s="18" t="s">
        <v>11</v>
      </c>
      <c r="E2" s="18">
        <v>5</v>
      </c>
      <c r="F2" s="18" t="s">
        <v>322</v>
      </c>
      <c r="G2" s="18" t="s">
        <v>295</v>
      </c>
      <c r="H2" s="18">
        <f>_xlfn.XLOOKUP(D2, Product_clean!A:A, Product_clean!F:F)</f>
        <v>349</v>
      </c>
      <c r="I2" s="18">
        <f t="shared" ref="I2:I31" si="0">H2 * E2</f>
        <v>1745</v>
      </c>
      <c r="J2" s="18">
        <f>E2 * _xlfn.XLOOKUP(D2, Product_clean!A:A, Product_clean!L:L)</f>
        <v>2271.75</v>
      </c>
      <c r="K2" s="18">
        <f xml:space="preserve"> I2 - J2</f>
        <v>-526.75</v>
      </c>
    </row>
    <row r="3" spans="1:11" x14ac:dyDescent="0.3">
      <c r="A3" s="16" t="s">
        <v>263</v>
      </c>
      <c r="B3" s="20">
        <v>46074</v>
      </c>
      <c r="C3" s="15" t="s">
        <v>214</v>
      </c>
      <c r="D3" s="16" t="s">
        <v>18</v>
      </c>
      <c r="E3" s="16">
        <v>4</v>
      </c>
      <c r="F3" s="16" t="s">
        <v>323</v>
      </c>
      <c r="G3" s="16" t="s">
        <v>295</v>
      </c>
      <c r="H3" s="16">
        <f>_xlfn.XLOOKUP(D3, Product_clean!A:A, Product_clean!F:F)</f>
        <v>549</v>
      </c>
      <c r="I3" s="16">
        <f t="shared" si="0"/>
        <v>2196</v>
      </c>
      <c r="J3" s="16">
        <f>E3 * _xlfn.XLOOKUP(D3, Product_clean!A:A, Product_clean!L:L)</f>
        <v>3117.4</v>
      </c>
      <c r="K3" s="16">
        <f t="shared" ref="K3:K31" si="1" xml:space="preserve"> I3 - J3</f>
        <v>-921.40000000000009</v>
      </c>
    </row>
    <row r="4" spans="1:11" x14ac:dyDescent="0.3">
      <c r="A4" s="18" t="s">
        <v>264</v>
      </c>
      <c r="B4" s="19">
        <v>46028</v>
      </c>
      <c r="C4" s="17" t="s">
        <v>215</v>
      </c>
      <c r="D4" s="18" t="s">
        <v>23</v>
      </c>
      <c r="E4" s="18">
        <v>3</v>
      </c>
      <c r="F4" s="18" t="s">
        <v>323</v>
      </c>
      <c r="G4" s="18" t="s">
        <v>295</v>
      </c>
      <c r="H4" s="18">
        <f>_xlfn.XLOOKUP(D4, Product_clean!A:A, Product_clean!F:F)</f>
        <v>399</v>
      </c>
      <c r="I4" s="18">
        <f t="shared" si="0"/>
        <v>1197</v>
      </c>
      <c r="J4" s="18">
        <f>E4 * _xlfn.XLOOKUP(D4, Product_clean!A:A, Product_clean!L:L)</f>
        <v>1558.0500000000002</v>
      </c>
      <c r="K4" s="18">
        <f t="shared" si="1"/>
        <v>-361.05000000000018</v>
      </c>
    </row>
    <row r="5" spans="1:11" x14ac:dyDescent="0.3">
      <c r="A5" s="16" t="s">
        <v>265</v>
      </c>
      <c r="B5" s="20">
        <v>46043</v>
      </c>
      <c r="C5" s="15" t="s">
        <v>216</v>
      </c>
      <c r="D5" s="16" t="s">
        <v>29</v>
      </c>
      <c r="E5" s="16">
        <v>1</v>
      </c>
      <c r="F5" s="16" t="s">
        <v>324</v>
      </c>
      <c r="G5" s="16" t="s">
        <v>296</v>
      </c>
      <c r="H5" s="16">
        <f>_xlfn.XLOOKUP(D5, Product_clean!A:A, Product_clean!F:F)</f>
        <v>179</v>
      </c>
      <c r="I5" s="16">
        <f t="shared" si="0"/>
        <v>179</v>
      </c>
      <c r="J5" s="16">
        <f>E5 * _xlfn.XLOOKUP(D5, Product_clean!A:A, Product_clean!L:L)</f>
        <v>194.35</v>
      </c>
      <c r="K5" s="16">
        <f t="shared" si="1"/>
        <v>-15.349999999999994</v>
      </c>
    </row>
    <row r="6" spans="1:11" x14ac:dyDescent="0.3">
      <c r="A6" s="18" t="s">
        <v>266</v>
      </c>
      <c r="B6" s="19">
        <v>46077</v>
      </c>
      <c r="C6" s="17" t="s">
        <v>217</v>
      </c>
      <c r="D6" s="18" t="s">
        <v>33</v>
      </c>
      <c r="E6" s="18">
        <v>1</v>
      </c>
      <c r="F6" s="18" t="s">
        <v>322</v>
      </c>
      <c r="G6" s="18" t="s">
        <v>296</v>
      </c>
      <c r="H6" s="18">
        <f>_xlfn.XLOOKUP(D6, Product_clean!A:A, Product_clean!F:F)</f>
        <v>249</v>
      </c>
      <c r="I6" s="18">
        <f t="shared" si="0"/>
        <v>249</v>
      </c>
      <c r="J6" s="18">
        <f>E6 * _xlfn.XLOOKUP(D6, Product_clean!A:A, Product_clean!L:L)</f>
        <v>324.35000000000002</v>
      </c>
      <c r="K6" s="18">
        <f t="shared" si="1"/>
        <v>-75.350000000000023</v>
      </c>
    </row>
    <row r="7" spans="1:11" x14ac:dyDescent="0.3">
      <c r="A7" s="16" t="s">
        <v>267</v>
      </c>
      <c r="B7" s="20">
        <v>46065</v>
      </c>
      <c r="C7" s="15" t="s">
        <v>218</v>
      </c>
      <c r="D7" s="16" t="s">
        <v>39</v>
      </c>
      <c r="E7" s="16">
        <v>4</v>
      </c>
      <c r="F7" s="16" t="s">
        <v>323</v>
      </c>
      <c r="G7" s="16" t="s">
        <v>296</v>
      </c>
      <c r="H7" s="16">
        <f>_xlfn.XLOOKUP(D7, Product_clean!A:A, Product_clean!F:F)</f>
        <v>499</v>
      </c>
      <c r="I7" s="16">
        <f t="shared" si="0"/>
        <v>1996</v>
      </c>
      <c r="J7" s="16">
        <f>E7 * _xlfn.XLOOKUP(D7, Product_clean!A:A, Product_clean!L:L)</f>
        <v>2337.4</v>
      </c>
      <c r="K7" s="16">
        <f t="shared" si="1"/>
        <v>-341.40000000000009</v>
      </c>
    </row>
    <row r="8" spans="1:11" x14ac:dyDescent="0.3">
      <c r="A8" s="18" t="s">
        <v>268</v>
      </c>
      <c r="B8" s="19">
        <v>46030</v>
      </c>
      <c r="C8" s="17" t="s">
        <v>219</v>
      </c>
      <c r="D8" s="18" t="s">
        <v>44</v>
      </c>
      <c r="E8" s="18">
        <v>3</v>
      </c>
      <c r="F8" s="18" t="s">
        <v>323</v>
      </c>
      <c r="G8" s="18" t="s">
        <v>295</v>
      </c>
      <c r="H8" s="18">
        <f>_xlfn.XLOOKUP(D8, Product_clean!A:A, Product_clean!F:F)</f>
        <v>259</v>
      </c>
      <c r="I8" s="18">
        <f t="shared" si="0"/>
        <v>777</v>
      </c>
      <c r="J8" s="18">
        <f>E8 * _xlfn.XLOOKUP(D8, Product_clean!A:A, Product_clean!L:L)</f>
        <v>973.05000000000007</v>
      </c>
      <c r="K8" s="18">
        <f t="shared" si="1"/>
        <v>-196.05000000000007</v>
      </c>
    </row>
    <row r="9" spans="1:11" x14ac:dyDescent="0.3">
      <c r="A9" s="16" t="s">
        <v>269</v>
      </c>
      <c r="B9" s="20">
        <v>46056</v>
      </c>
      <c r="C9" s="15" t="s">
        <v>220</v>
      </c>
      <c r="D9" s="16" t="s">
        <v>49</v>
      </c>
      <c r="E9" s="16">
        <v>2</v>
      </c>
      <c r="F9" s="16" t="s">
        <v>323</v>
      </c>
      <c r="G9" s="16" t="s">
        <v>295</v>
      </c>
      <c r="H9" s="16">
        <f>_xlfn.XLOOKUP(D9, Product_clean!A:A, Product_clean!F:F)</f>
        <v>699</v>
      </c>
      <c r="I9" s="16">
        <f t="shared" si="0"/>
        <v>1398</v>
      </c>
      <c r="J9" s="16">
        <f>E9 * _xlfn.XLOOKUP(D9, Product_clean!A:A, Product_clean!L:L)</f>
        <v>1688.7</v>
      </c>
      <c r="K9" s="16">
        <f t="shared" si="1"/>
        <v>-290.70000000000005</v>
      </c>
    </row>
    <row r="10" spans="1:11" x14ac:dyDescent="0.3">
      <c r="A10" s="18" t="s">
        <v>270</v>
      </c>
      <c r="B10" s="19">
        <v>46062</v>
      </c>
      <c r="C10" s="17" t="s">
        <v>221</v>
      </c>
      <c r="D10" s="18" t="s">
        <v>54</v>
      </c>
      <c r="E10" s="18">
        <v>2</v>
      </c>
      <c r="F10" s="18" t="s">
        <v>322</v>
      </c>
      <c r="G10" s="18" t="s">
        <v>295</v>
      </c>
      <c r="H10" s="18">
        <f>_xlfn.XLOOKUP(D10, Product_clean!A:A, Product_clean!F:F)</f>
        <v>799</v>
      </c>
      <c r="I10" s="18">
        <f t="shared" si="0"/>
        <v>1598</v>
      </c>
      <c r="J10" s="18">
        <f>E10 * _xlfn.XLOOKUP(D10, Product_clean!A:A, Product_clean!L:L)</f>
        <v>1948.7</v>
      </c>
      <c r="K10" s="18">
        <f t="shared" si="1"/>
        <v>-350.70000000000005</v>
      </c>
    </row>
    <row r="11" spans="1:11" x14ac:dyDescent="0.3">
      <c r="A11" s="16" t="s">
        <v>271</v>
      </c>
      <c r="B11" s="20">
        <v>46041</v>
      </c>
      <c r="C11" s="15" t="s">
        <v>222</v>
      </c>
      <c r="D11" s="16" t="s">
        <v>59</v>
      </c>
      <c r="E11" s="16">
        <v>7</v>
      </c>
      <c r="F11" s="16" t="s">
        <v>322</v>
      </c>
      <c r="G11" s="16" t="s">
        <v>295</v>
      </c>
      <c r="H11" s="16">
        <f>_xlfn.XLOOKUP(D11, Product_clean!A:A, Product_clean!F:F)</f>
        <v>189</v>
      </c>
      <c r="I11" s="16">
        <f t="shared" si="0"/>
        <v>1323</v>
      </c>
      <c r="J11" s="16">
        <f>E11 * _xlfn.XLOOKUP(D11, Product_clean!A:A, Product_clean!L:L)</f>
        <v>1815.4500000000003</v>
      </c>
      <c r="K11" s="16">
        <f t="shared" si="1"/>
        <v>-492.45000000000027</v>
      </c>
    </row>
    <row r="12" spans="1:11" x14ac:dyDescent="0.3">
      <c r="A12" s="18" t="s">
        <v>272</v>
      </c>
      <c r="B12" s="19">
        <v>46037</v>
      </c>
      <c r="C12" s="17" t="s">
        <v>223</v>
      </c>
      <c r="D12" s="18" t="s">
        <v>64</v>
      </c>
      <c r="E12" s="18">
        <v>8</v>
      </c>
      <c r="F12" s="18" t="s">
        <v>323</v>
      </c>
      <c r="G12" s="18" t="s">
        <v>296</v>
      </c>
      <c r="H12" s="18">
        <f>_xlfn.XLOOKUP(D12, Product_clean!A:A, Product_clean!F:F)</f>
        <v>499</v>
      </c>
      <c r="I12" s="18">
        <f t="shared" si="0"/>
        <v>3992</v>
      </c>
      <c r="J12" s="18">
        <f>E12 * _xlfn.XLOOKUP(D12, Product_clean!A:A, Product_clean!L:L)</f>
        <v>5194.8</v>
      </c>
      <c r="K12" s="18">
        <f t="shared" si="1"/>
        <v>-1202.8000000000002</v>
      </c>
    </row>
    <row r="13" spans="1:11" x14ac:dyDescent="0.3">
      <c r="A13" s="16" t="s">
        <v>273</v>
      </c>
      <c r="B13" s="20">
        <v>46051</v>
      </c>
      <c r="C13" s="15" t="s">
        <v>224</v>
      </c>
      <c r="D13" s="16" t="s">
        <v>67</v>
      </c>
      <c r="E13" s="16">
        <v>4</v>
      </c>
      <c r="F13" s="16" t="s">
        <v>323</v>
      </c>
      <c r="G13" s="16" t="s">
        <v>295</v>
      </c>
      <c r="H13" s="16">
        <f>_xlfn.XLOOKUP(D13, Product_clean!A:A, Product_clean!F:F)</f>
        <v>699</v>
      </c>
      <c r="I13" s="16">
        <f t="shared" si="0"/>
        <v>2796</v>
      </c>
      <c r="J13" s="16">
        <f>E13 * _xlfn.XLOOKUP(D13, Product_clean!A:A, Product_clean!L:L)</f>
        <v>3117.4</v>
      </c>
      <c r="K13" s="16">
        <f t="shared" si="1"/>
        <v>-321.40000000000009</v>
      </c>
    </row>
    <row r="14" spans="1:11" x14ac:dyDescent="0.3">
      <c r="A14" s="18" t="s">
        <v>274</v>
      </c>
      <c r="B14" s="19">
        <v>46073</v>
      </c>
      <c r="C14" s="17" t="s">
        <v>225</v>
      </c>
      <c r="D14" s="18" t="s">
        <v>71</v>
      </c>
      <c r="E14" s="18">
        <v>2</v>
      </c>
      <c r="F14" s="18" t="s">
        <v>322</v>
      </c>
      <c r="G14" s="18" t="s">
        <v>295</v>
      </c>
      <c r="H14" s="18">
        <f>_xlfn.XLOOKUP(D14, Product_clean!A:A, Product_clean!F:F)</f>
        <v>1199</v>
      </c>
      <c r="I14" s="18">
        <f t="shared" si="0"/>
        <v>2398</v>
      </c>
      <c r="J14" s="18">
        <f>E14 * _xlfn.XLOOKUP(D14, Product_clean!A:A, Product_clean!L:L)</f>
        <v>3248.7000000000003</v>
      </c>
      <c r="K14" s="18">
        <f t="shared" si="1"/>
        <v>-850.70000000000027</v>
      </c>
    </row>
    <row r="15" spans="1:11" x14ac:dyDescent="0.3">
      <c r="A15" s="16" t="s">
        <v>275</v>
      </c>
      <c r="B15" s="20">
        <v>46060</v>
      </c>
      <c r="C15" s="15" t="s">
        <v>226</v>
      </c>
      <c r="D15" s="16" t="s">
        <v>76</v>
      </c>
      <c r="E15" s="16">
        <v>4</v>
      </c>
      <c r="F15" s="16" t="s">
        <v>323</v>
      </c>
      <c r="G15" s="16" t="s">
        <v>295</v>
      </c>
      <c r="H15" s="16">
        <f>_xlfn.XLOOKUP(D15, Product_clean!A:A, Product_clean!F:F)</f>
        <v>349</v>
      </c>
      <c r="I15" s="16">
        <f t="shared" si="0"/>
        <v>1396</v>
      </c>
      <c r="J15" s="16">
        <f>E15 * _xlfn.XLOOKUP(D15, Product_clean!A:A, Product_clean!L:L)</f>
        <v>1557.4</v>
      </c>
      <c r="K15" s="16">
        <f t="shared" si="1"/>
        <v>-161.40000000000009</v>
      </c>
    </row>
    <row r="16" spans="1:11" x14ac:dyDescent="0.3">
      <c r="A16" s="18" t="s">
        <v>276</v>
      </c>
      <c r="B16" s="19">
        <v>46056</v>
      </c>
      <c r="C16" s="17" t="s">
        <v>227</v>
      </c>
      <c r="D16" s="18" t="s">
        <v>79</v>
      </c>
      <c r="E16" s="18">
        <v>4</v>
      </c>
      <c r="F16" s="18" t="s">
        <v>323</v>
      </c>
      <c r="G16" s="18" t="s">
        <v>296</v>
      </c>
      <c r="H16" s="18">
        <f>_xlfn.XLOOKUP(D16, Product_clean!A:A, Product_clean!F:F)</f>
        <v>249</v>
      </c>
      <c r="I16" s="18">
        <f t="shared" si="0"/>
        <v>996</v>
      </c>
      <c r="J16" s="18">
        <f>E16 * _xlfn.XLOOKUP(D16, Product_clean!A:A, Product_clean!L:L)</f>
        <v>1297.4000000000001</v>
      </c>
      <c r="K16" s="18">
        <f t="shared" si="1"/>
        <v>-301.40000000000009</v>
      </c>
    </row>
    <row r="17" spans="1:11" x14ac:dyDescent="0.3">
      <c r="A17" s="16" t="s">
        <v>277</v>
      </c>
      <c r="B17" s="20">
        <v>46042</v>
      </c>
      <c r="C17" s="15" t="s">
        <v>228</v>
      </c>
      <c r="D17" s="16" t="s">
        <v>82</v>
      </c>
      <c r="E17" s="16">
        <v>1</v>
      </c>
      <c r="F17" s="16" t="s">
        <v>322</v>
      </c>
      <c r="G17" s="16" t="s">
        <v>295</v>
      </c>
      <c r="H17" s="16">
        <f>_xlfn.XLOOKUP(D17, Product_clean!A:A, Product_clean!F:F)</f>
        <v>159</v>
      </c>
      <c r="I17" s="16">
        <f t="shared" si="0"/>
        <v>159</v>
      </c>
      <c r="J17" s="16">
        <f>E17 * _xlfn.XLOOKUP(D17, Product_clean!A:A, Product_clean!L:L)</f>
        <v>259.35000000000002</v>
      </c>
      <c r="K17" s="16">
        <f t="shared" si="1"/>
        <v>-100.35000000000002</v>
      </c>
    </row>
    <row r="18" spans="1:11" x14ac:dyDescent="0.3">
      <c r="A18" s="18" t="s">
        <v>278</v>
      </c>
      <c r="B18" s="19">
        <v>46056</v>
      </c>
      <c r="C18" s="17" t="s">
        <v>229</v>
      </c>
      <c r="D18" s="18" t="s">
        <v>86</v>
      </c>
      <c r="E18" s="18">
        <v>5</v>
      </c>
      <c r="F18" s="18" t="s">
        <v>323</v>
      </c>
      <c r="G18" s="18" t="s">
        <v>295</v>
      </c>
      <c r="H18" s="18">
        <f>_xlfn.XLOOKUP(D18, Product_clean!A:A, Product_clean!F:F)</f>
        <v>699</v>
      </c>
      <c r="I18" s="18">
        <f t="shared" si="0"/>
        <v>3495</v>
      </c>
      <c r="J18" s="18">
        <f>E18 * _xlfn.XLOOKUP(D18, Product_clean!A:A, Product_clean!L:L)</f>
        <v>4221.75</v>
      </c>
      <c r="K18" s="18">
        <f t="shared" si="1"/>
        <v>-726.75</v>
      </c>
    </row>
    <row r="19" spans="1:11" x14ac:dyDescent="0.3">
      <c r="A19" s="16" t="s">
        <v>279</v>
      </c>
      <c r="B19" s="20">
        <v>46026</v>
      </c>
      <c r="C19" s="15" t="s">
        <v>230</v>
      </c>
      <c r="D19" s="16" t="s">
        <v>90</v>
      </c>
      <c r="E19" s="16">
        <v>3</v>
      </c>
      <c r="F19" s="16" t="s">
        <v>324</v>
      </c>
      <c r="G19" s="16" t="s">
        <v>295</v>
      </c>
      <c r="H19" s="16">
        <f>_xlfn.XLOOKUP(D19, Product_clean!A:A, Product_clean!F:F)</f>
        <v>749</v>
      </c>
      <c r="I19" s="16">
        <f t="shared" si="0"/>
        <v>2247</v>
      </c>
      <c r="J19" s="16">
        <f>E19 * _xlfn.XLOOKUP(D19, Product_clean!A:A, Product_clean!L:L)</f>
        <v>2923.05</v>
      </c>
      <c r="K19" s="16">
        <f t="shared" si="1"/>
        <v>-676.05000000000018</v>
      </c>
    </row>
    <row r="20" spans="1:11" x14ac:dyDescent="0.3">
      <c r="A20" s="18" t="s">
        <v>280</v>
      </c>
      <c r="B20" s="19">
        <v>46049</v>
      </c>
      <c r="C20" s="17" t="s">
        <v>231</v>
      </c>
      <c r="D20" s="18" t="s">
        <v>93</v>
      </c>
      <c r="E20" s="18">
        <v>6</v>
      </c>
      <c r="F20" s="18" t="s">
        <v>323</v>
      </c>
      <c r="G20" s="18" t="s">
        <v>296</v>
      </c>
      <c r="H20" s="18">
        <f>_xlfn.XLOOKUP(D20, Product_clean!A:A, Product_clean!F:F)</f>
        <v>149</v>
      </c>
      <c r="I20" s="18">
        <f t="shared" si="0"/>
        <v>894</v>
      </c>
      <c r="J20" s="18">
        <f>E20 * _xlfn.XLOOKUP(D20, Product_clean!A:A, Product_clean!L:L)</f>
        <v>1166.0999999999999</v>
      </c>
      <c r="K20" s="18">
        <f t="shared" si="1"/>
        <v>-272.09999999999991</v>
      </c>
    </row>
    <row r="21" spans="1:11" x14ac:dyDescent="0.3">
      <c r="A21" s="16" t="s">
        <v>281</v>
      </c>
      <c r="B21" s="20">
        <v>46078</v>
      </c>
      <c r="C21" s="15" t="s">
        <v>232</v>
      </c>
      <c r="D21" s="16" t="s">
        <v>97</v>
      </c>
      <c r="E21" s="16">
        <v>7</v>
      </c>
      <c r="F21" s="16" t="s">
        <v>323</v>
      </c>
      <c r="G21" s="16" t="s">
        <v>296</v>
      </c>
      <c r="H21" s="16">
        <f>_xlfn.XLOOKUP(D21, Product_clean!A:A, Product_clean!F:F)</f>
        <v>549</v>
      </c>
      <c r="I21" s="16">
        <f t="shared" si="0"/>
        <v>3843</v>
      </c>
      <c r="J21" s="16">
        <f>E21 * _xlfn.XLOOKUP(D21, Product_clean!A:A, Product_clean!L:L)</f>
        <v>4545.45</v>
      </c>
      <c r="K21" s="16">
        <f t="shared" si="1"/>
        <v>-702.44999999999982</v>
      </c>
    </row>
    <row r="22" spans="1:11" x14ac:dyDescent="0.3">
      <c r="A22" s="18" t="s">
        <v>282</v>
      </c>
      <c r="B22" s="19">
        <v>46045</v>
      </c>
      <c r="C22" s="17" t="s">
        <v>233</v>
      </c>
      <c r="D22" s="18" t="s">
        <v>101</v>
      </c>
      <c r="E22" s="18">
        <v>9</v>
      </c>
      <c r="F22" s="18" t="s">
        <v>324</v>
      </c>
      <c r="G22" s="18" t="s">
        <v>296</v>
      </c>
      <c r="H22" s="18">
        <f>_xlfn.XLOOKUP(D22, Product_clean!A:A, Product_clean!F:F)</f>
        <v>349</v>
      </c>
      <c r="I22" s="18">
        <f t="shared" si="0"/>
        <v>3141</v>
      </c>
      <c r="J22" s="18">
        <f>E22 * _xlfn.XLOOKUP(D22, Product_clean!A:A, Product_clean!L:L)</f>
        <v>4089.15</v>
      </c>
      <c r="K22" s="18">
        <f t="shared" si="1"/>
        <v>-948.15000000000009</v>
      </c>
    </row>
    <row r="23" spans="1:11" x14ac:dyDescent="0.3">
      <c r="A23" s="16" t="s">
        <v>283</v>
      </c>
      <c r="B23" s="20">
        <v>46081</v>
      </c>
      <c r="C23" s="15" t="s">
        <v>234</v>
      </c>
      <c r="D23" s="16" t="s">
        <v>105</v>
      </c>
      <c r="E23" s="16">
        <v>1</v>
      </c>
      <c r="F23" s="16" t="s">
        <v>322</v>
      </c>
      <c r="G23" s="16" t="s">
        <v>296</v>
      </c>
      <c r="H23" s="16">
        <f>_xlfn.XLOOKUP(D23, Product_clean!A:A, Product_clean!F:F)</f>
        <v>99</v>
      </c>
      <c r="I23" s="16">
        <f t="shared" si="0"/>
        <v>99</v>
      </c>
      <c r="J23" s="16">
        <f>E23 * _xlfn.XLOOKUP(D23, Product_clean!A:A, Product_clean!L:L)</f>
        <v>129.35</v>
      </c>
      <c r="K23" s="16">
        <f t="shared" si="1"/>
        <v>-30.349999999999994</v>
      </c>
    </row>
    <row r="24" spans="1:11" x14ac:dyDescent="0.3">
      <c r="A24" s="18" t="s">
        <v>284</v>
      </c>
      <c r="B24" s="19">
        <v>46076</v>
      </c>
      <c r="C24" s="17" t="s">
        <v>235</v>
      </c>
      <c r="D24" s="18" t="s">
        <v>109</v>
      </c>
      <c r="E24" s="18">
        <v>4</v>
      </c>
      <c r="F24" s="18" t="s">
        <v>323</v>
      </c>
      <c r="G24" s="18" t="s">
        <v>295</v>
      </c>
      <c r="H24" s="18">
        <f>_xlfn.XLOOKUP(D24, Product_clean!A:A, Product_clean!F:F)</f>
        <v>349</v>
      </c>
      <c r="I24" s="18">
        <f t="shared" si="0"/>
        <v>1396</v>
      </c>
      <c r="J24" s="18">
        <f>E24 * _xlfn.XLOOKUP(D24, Product_clean!A:A, Product_clean!L:L)</f>
        <v>1817.4</v>
      </c>
      <c r="K24" s="18">
        <f t="shared" si="1"/>
        <v>-421.40000000000009</v>
      </c>
    </row>
    <row r="25" spans="1:11" x14ac:dyDescent="0.3">
      <c r="A25" s="16" t="s">
        <v>285</v>
      </c>
      <c r="B25" s="20">
        <v>46026</v>
      </c>
      <c r="C25" s="15" t="s">
        <v>236</v>
      </c>
      <c r="D25" s="16" t="s">
        <v>112</v>
      </c>
      <c r="E25" s="16">
        <v>3</v>
      </c>
      <c r="F25" s="16" t="s">
        <v>322</v>
      </c>
      <c r="G25" s="16" t="s">
        <v>296</v>
      </c>
      <c r="H25" s="16">
        <f>_xlfn.XLOOKUP(D25, Product_clean!A:A, Product_clean!F:F)</f>
        <v>299</v>
      </c>
      <c r="I25" s="16">
        <f t="shared" si="0"/>
        <v>897</v>
      </c>
      <c r="J25" s="16">
        <f>E25 * _xlfn.XLOOKUP(D25, Product_clean!A:A, Product_clean!L:L)</f>
        <v>1363.0500000000002</v>
      </c>
      <c r="K25" s="16">
        <f t="shared" si="1"/>
        <v>-466.05000000000018</v>
      </c>
    </row>
    <row r="26" spans="1:11" x14ac:dyDescent="0.3">
      <c r="A26" s="18" t="s">
        <v>286</v>
      </c>
      <c r="B26" s="19">
        <v>46027</v>
      </c>
      <c r="C26" s="17" t="s">
        <v>237</v>
      </c>
      <c r="D26" s="18" t="s">
        <v>116</v>
      </c>
      <c r="E26" s="18">
        <v>6</v>
      </c>
      <c r="F26" s="18" t="s">
        <v>322</v>
      </c>
      <c r="G26" s="18" t="s">
        <v>295</v>
      </c>
      <c r="H26" s="18">
        <f>_xlfn.XLOOKUP(D26, Product_clean!A:A, Product_clean!F:F)</f>
        <v>449</v>
      </c>
      <c r="I26" s="18">
        <f t="shared" si="0"/>
        <v>2694</v>
      </c>
      <c r="J26" s="18">
        <f>E26 * _xlfn.XLOOKUP(D26, Product_clean!A:A, Product_clean!L:L)</f>
        <v>3506.1000000000004</v>
      </c>
      <c r="K26" s="18">
        <f t="shared" si="1"/>
        <v>-812.10000000000036</v>
      </c>
    </row>
    <row r="27" spans="1:11" x14ac:dyDescent="0.3">
      <c r="A27" s="16" t="s">
        <v>287</v>
      </c>
      <c r="B27" s="20">
        <v>46023</v>
      </c>
      <c r="C27" s="15" t="s">
        <v>238</v>
      </c>
      <c r="D27" s="16" t="s">
        <v>120</v>
      </c>
      <c r="E27" s="16">
        <v>4</v>
      </c>
      <c r="F27" s="16" t="s">
        <v>323</v>
      </c>
      <c r="G27" s="16" t="s">
        <v>296</v>
      </c>
      <c r="H27" s="16">
        <f>_xlfn.XLOOKUP(D27, Product_clean!A:A, Product_clean!F:F)</f>
        <v>299</v>
      </c>
      <c r="I27" s="16">
        <f t="shared" si="0"/>
        <v>1196</v>
      </c>
      <c r="J27" s="16">
        <f>E27 * _xlfn.XLOOKUP(D27, Product_clean!A:A, Product_clean!L:L)</f>
        <v>1557.4</v>
      </c>
      <c r="K27" s="16">
        <f t="shared" si="1"/>
        <v>-361.40000000000009</v>
      </c>
    </row>
    <row r="28" spans="1:11" x14ac:dyDescent="0.3">
      <c r="A28" s="18" t="s">
        <v>288</v>
      </c>
      <c r="B28" s="19">
        <v>46043</v>
      </c>
      <c r="C28" s="17" t="s">
        <v>239</v>
      </c>
      <c r="D28" s="18" t="s">
        <v>124</v>
      </c>
      <c r="E28" s="18">
        <v>3</v>
      </c>
      <c r="F28" s="18" t="s">
        <v>324</v>
      </c>
      <c r="G28" s="18" t="s">
        <v>296</v>
      </c>
      <c r="H28" s="18">
        <f>_xlfn.XLOOKUP(D28, Product_clean!A:A, Product_clean!F:F)</f>
        <v>399</v>
      </c>
      <c r="I28" s="18">
        <f t="shared" si="0"/>
        <v>1197</v>
      </c>
      <c r="J28" s="18">
        <f>E28 * _xlfn.XLOOKUP(D28, Product_clean!A:A, Product_clean!L:L)</f>
        <v>1558.0500000000002</v>
      </c>
      <c r="K28" s="18">
        <f t="shared" si="1"/>
        <v>-361.05000000000018</v>
      </c>
    </row>
    <row r="29" spans="1:11" x14ac:dyDescent="0.3">
      <c r="A29" s="16" t="s">
        <v>289</v>
      </c>
      <c r="B29" s="20">
        <v>46030</v>
      </c>
      <c r="C29" s="15" t="s">
        <v>240</v>
      </c>
      <c r="D29" s="16" t="s">
        <v>128</v>
      </c>
      <c r="E29" s="16">
        <v>2</v>
      </c>
      <c r="F29" s="16" t="s">
        <v>323</v>
      </c>
      <c r="G29" s="16" t="s">
        <v>295</v>
      </c>
      <c r="H29" s="16">
        <f>_xlfn.XLOOKUP(D29, Product_clean!A:A, Product_clean!F:F)</f>
        <v>499</v>
      </c>
      <c r="I29" s="16">
        <f t="shared" si="0"/>
        <v>998</v>
      </c>
      <c r="J29" s="16">
        <f>E29 * _xlfn.XLOOKUP(D29, Product_clean!A:A, Product_clean!L:L)</f>
        <v>1168.7</v>
      </c>
      <c r="K29" s="16">
        <f t="shared" si="1"/>
        <v>-170.70000000000005</v>
      </c>
    </row>
    <row r="30" spans="1:11" x14ac:dyDescent="0.3">
      <c r="A30" s="18" t="s">
        <v>290</v>
      </c>
      <c r="B30" s="19">
        <v>46052</v>
      </c>
      <c r="C30" s="17" t="s">
        <v>241</v>
      </c>
      <c r="D30" s="18" t="s">
        <v>131</v>
      </c>
      <c r="E30" s="18">
        <v>1</v>
      </c>
      <c r="F30" s="18" t="s">
        <v>323</v>
      </c>
      <c r="G30" s="18" t="s">
        <v>295</v>
      </c>
      <c r="H30" s="18">
        <f>_xlfn.XLOOKUP(D30, Product_clean!A:A, Product_clean!F:F)</f>
        <v>649</v>
      </c>
      <c r="I30" s="18">
        <f t="shared" si="0"/>
        <v>649</v>
      </c>
      <c r="J30" s="18">
        <f>E30 * _xlfn.XLOOKUP(D30, Product_clean!A:A, Product_clean!L:L)</f>
        <v>844.35</v>
      </c>
      <c r="K30" s="18">
        <f t="shared" si="1"/>
        <v>-195.35000000000002</v>
      </c>
    </row>
    <row r="31" spans="1:11" x14ac:dyDescent="0.3">
      <c r="A31" s="16" t="s">
        <v>291</v>
      </c>
      <c r="B31" s="20">
        <v>46030</v>
      </c>
      <c r="C31" s="15" t="s">
        <v>242</v>
      </c>
      <c r="D31" s="16" t="s">
        <v>135</v>
      </c>
      <c r="E31" s="16">
        <v>5</v>
      </c>
      <c r="F31" s="16" t="s">
        <v>323</v>
      </c>
      <c r="G31" s="16" t="s">
        <v>295</v>
      </c>
      <c r="H31" s="16">
        <f>_xlfn.XLOOKUP(D31, Product_clean!A:A, Product_clean!F:F)</f>
        <v>229</v>
      </c>
      <c r="I31" s="16">
        <f t="shared" si="0"/>
        <v>1145</v>
      </c>
      <c r="J31" s="16">
        <f>E31 * _xlfn.XLOOKUP(D31, Product_clean!A:A, Product_clean!L:L)</f>
        <v>1621.75</v>
      </c>
      <c r="K31" s="16">
        <f t="shared" si="1"/>
        <v>-476.75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77C25-64EE-49A5-8DF5-9B048184E046}">
  <dimension ref="A1:J17"/>
  <sheetViews>
    <sheetView workbookViewId="0"/>
  </sheetViews>
  <sheetFormatPr defaultRowHeight="14.4" x14ac:dyDescent="0.3"/>
  <cols>
    <col min="1" max="1" width="23" bestFit="1" customWidth="1"/>
    <col min="2" max="2" width="21.6640625" bestFit="1" customWidth="1"/>
    <col min="3" max="3" width="23" bestFit="1" customWidth="1"/>
    <col min="4" max="4" width="21.44140625" bestFit="1" customWidth="1"/>
    <col min="5" max="5" width="23.88671875" bestFit="1" customWidth="1"/>
    <col min="6" max="6" width="25.21875" bestFit="1" customWidth="1"/>
    <col min="7" max="7" width="29.44140625" bestFit="1" customWidth="1"/>
    <col min="8" max="8" width="26.88671875" bestFit="1" customWidth="1"/>
    <col min="9" max="9" width="37" bestFit="1" customWidth="1"/>
    <col min="10" max="10" width="27.44140625" bestFit="1" customWidth="1"/>
  </cols>
  <sheetData>
    <row r="1" spans="1:10" x14ac:dyDescent="0.3">
      <c r="A1" s="24" t="s">
        <v>354</v>
      </c>
    </row>
    <row r="3" spans="1:10" x14ac:dyDescent="0.3">
      <c r="A3" t="s">
        <v>344</v>
      </c>
      <c r="B3" t="s">
        <v>345</v>
      </c>
      <c r="C3" t="s">
        <v>346</v>
      </c>
      <c r="D3" t="s">
        <v>347</v>
      </c>
      <c r="E3" t="s">
        <v>348</v>
      </c>
      <c r="F3" t="s">
        <v>349</v>
      </c>
      <c r="G3" t="s">
        <v>350</v>
      </c>
      <c r="H3" t="s">
        <v>351</v>
      </c>
      <c r="I3" t="s">
        <v>352</v>
      </c>
      <c r="J3" t="s">
        <v>353</v>
      </c>
    </row>
    <row r="4" spans="1:10" x14ac:dyDescent="0.3">
      <c r="A4" t="s">
        <v>303</v>
      </c>
      <c r="B4" t="s">
        <v>263</v>
      </c>
      <c r="C4" t="s">
        <v>18</v>
      </c>
      <c r="D4">
        <v>4</v>
      </c>
      <c r="E4" s="4">
        <v>46074</v>
      </c>
      <c r="F4" s="4">
        <v>46078</v>
      </c>
      <c r="G4">
        <v>549</v>
      </c>
      <c r="H4">
        <v>2196</v>
      </c>
      <c r="I4">
        <v>1756.8000000000002</v>
      </c>
      <c r="J4" t="s">
        <v>327</v>
      </c>
    </row>
    <row r="5" spans="1:10" x14ac:dyDescent="0.3">
      <c r="A5" t="s">
        <v>304</v>
      </c>
      <c r="B5" t="s">
        <v>265</v>
      </c>
      <c r="C5" t="s">
        <v>29</v>
      </c>
      <c r="D5">
        <v>1</v>
      </c>
      <c r="E5" s="4">
        <v>46043</v>
      </c>
      <c r="F5" s="4">
        <v>46047</v>
      </c>
      <c r="G5">
        <v>179</v>
      </c>
      <c r="H5">
        <v>179</v>
      </c>
      <c r="I5">
        <v>143.20000000000002</v>
      </c>
      <c r="J5" t="s">
        <v>327</v>
      </c>
    </row>
    <row r="6" spans="1:10" x14ac:dyDescent="0.3">
      <c r="A6" t="s">
        <v>305</v>
      </c>
      <c r="B6" t="s">
        <v>266</v>
      </c>
      <c r="C6" t="s">
        <v>33</v>
      </c>
      <c r="D6">
        <v>1</v>
      </c>
      <c r="E6" s="4">
        <v>46077</v>
      </c>
      <c r="F6" s="4">
        <v>46078</v>
      </c>
      <c r="G6">
        <v>249</v>
      </c>
      <c r="H6">
        <v>249</v>
      </c>
      <c r="I6">
        <v>199.20000000000002</v>
      </c>
      <c r="J6" t="s">
        <v>328</v>
      </c>
    </row>
    <row r="7" spans="1:10" x14ac:dyDescent="0.3">
      <c r="A7" t="s">
        <v>306</v>
      </c>
      <c r="B7" t="s">
        <v>267</v>
      </c>
      <c r="C7" t="s">
        <v>39</v>
      </c>
      <c r="D7">
        <v>4</v>
      </c>
      <c r="E7" s="4">
        <v>46065</v>
      </c>
      <c r="F7" s="4">
        <v>46070</v>
      </c>
      <c r="G7">
        <v>499</v>
      </c>
      <c r="H7">
        <v>1996</v>
      </c>
      <c r="I7">
        <v>1596.8000000000002</v>
      </c>
      <c r="J7" t="s">
        <v>329</v>
      </c>
    </row>
    <row r="8" spans="1:10" x14ac:dyDescent="0.3">
      <c r="A8" t="s">
        <v>307</v>
      </c>
      <c r="B8" t="s">
        <v>272</v>
      </c>
      <c r="C8" t="s">
        <v>64</v>
      </c>
      <c r="D8">
        <v>8</v>
      </c>
      <c r="E8" s="4">
        <v>46037</v>
      </c>
      <c r="F8" s="4">
        <v>46043</v>
      </c>
      <c r="G8">
        <v>499</v>
      </c>
      <c r="H8">
        <v>3992</v>
      </c>
      <c r="I8">
        <v>3193.6000000000004</v>
      </c>
      <c r="J8" t="s">
        <v>329</v>
      </c>
    </row>
    <row r="9" spans="1:10" x14ac:dyDescent="0.3">
      <c r="A9" t="s">
        <v>308</v>
      </c>
      <c r="B9" t="s">
        <v>276</v>
      </c>
      <c r="C9" t="s">
        <v>79</v>
      </c>
      <c r="D9">
        <v>4</v>
      </c>
      <c r="E9" s="4">
        <v>46056</v>
      </c>
      <c r="F9" s="4">
        <v>46058</v>
      </c>
      <c r="G9">
        <v>249</v>
      </c>
      <c r="H9">
        <v>996</v>
      </c>
      <c r="I9">
        <v>796.80000000000007</v>
      </c>
      <c r="J9" t="s">
        <v>330</v>
      </c>
    </row>
    <row r="10" spans="1:10" x14ac:dyDescent="0.3">
      <c r="A10" t="s">
        <v>309</v>
      </c>
      <c r="B10" t="s">
        <v>280</v>
      </c>
      <c r="C10" t="s">
        <v>93</v>
      </c>
      <c r="D10">
        <v>6</v>
      </c>
      <c r="E10" s="4">
        <v>46049</v>
      </c>
      <c r="F10" s="4">
        <v>46053</v>
      </c>
      <c r="G10">
        <v>149</v>
      </c>
      <c r="H10">
        <v>894</v>
      </c>
      <c r="I10">
        <v>715.2</v>
      </c>
      <c r="J10" t="s">
        <v>331</v>
      </c>
    </row>
    <row r="11" spans="1:10" x14ac:dyDescent="0.3">
      <c r="A11" t="s">
        <v>310</v>
      </c>
      <c r="B11" t="s">
        <v>281</v>
      </c>
      <c r="C11" t="s">
        <v>97</v>
      </c>
      <c r="D11">
        <v>7</v>
      </c>
      <c r="E11" s="4">
        <v>46078</v>
      </c>
      <c r="F11" s="4">
        <v>46084</v>
      </c>
      <c r="G11">
        <v>549</v>
      </c>
      <c r="H11">
        <v>3843</v>
      </c>
      <c r="I11">
        <v>3074.4</v>
      </c>
      <c r="J11" t="s">
        <v>330</v>
      </c>
    </row>
    <row r="12" spans="1:10" x14ac:dyDescent="0.3">
      <c r="A12" t="s">
        <v>311</v>
      </c>
      <c r="B12" t="s">
        <v>282</v>
      </c>
      <c r="C12" t="s">
        <v>101</v>
      </c>
      <c r="D12">
        <v>9</v>
      </c>
      <c r="E12" s="4">
        <v>46045</v>
      </c>
      <c r="F12" s="4">
        <v>46050</v>
      </c>
      <c r="G12">
        <v>349</v>
      </c>
      <c r="H12">
        <v>3141</v>
      </c>
      <c r="I12">
        <v>2512.8000000000002</v>
      </c>
      <c r="J12" t="s">
        <v>330</v>
      </c>
    </row>
    <row r="13" spans="1:10" x14ac:dyDescent="0.3">
      <c r="A13" t="s">
        <v>312</v>
      </c>
      <c r="B13" t="s">
        <v>283</v>
      </c>
      <c r="C13" t="s">
        <v>105</v>
      </c>
      <c r="D13">
        <v>1</v>
      </c>
      <c r="E13" s="4">
        <v>46081</v>
      </c>
      <c r="F13" s="4">
        <v>46088</v>
      </c>
      <c r="G13">
        <v>99</v>
      </c>
      <c r="H13">
        <v>99</v>
      </c>
      <c r="I13">
        <v>79.2</v>
      </c>
      <c r="J13" t="s">
        <v>329</v>
      </c>
    </row>
    <row r="14" spans="1:10" x14ac:dyDescent="0.3">
      <c r="A14" t="s">
        <v>313</v>
      </c>
      <c r="B14" t="s">
        <v>285</v>
      </c>
      <c r="C14" t="s">
        <v>112</v>
      </c>
      <c r="D14">
        <v>3</v>
      </c>
      <c r="E14" s="4">
        <v>46026</v>
      </c>
      <c r="F14" s="4">
        <v>46029</v>
      </c>
      <c r="G14">
        <v>299</v>
      </c>
      <c r="H14">
        <v>897</v>
      </c>
      <c r="I14">
        <v>717.6</v>
      </c>
      <c r="J14" t="s">
        <v>331</v>
      </c>
    </row>
    <row r="15" spans="1:10" x14ac:dyDescent="0.3">
      <c r="A15" t="s">
        <v>314</v>
      </c>
      <c r="B15" t="s">
        <v>287</v>
      </c>
      <c r="C15" t="s">
        <v>120</v>
      </c>
      <c r="D15">
        <v>4</v>
      </c>
      <c r="E15" s="4">
        <v>46023</v>
      </c>
      <c r="F15" s="4">
        <v>46027</v>
      </c>
      <c r="G15">
        <v>299</v>
      </c>
      <c r="H15">
        <v>1196</v>
      </c>
      <c r="I15">
        <v>956.80000000000007</v>
      </c>
      <c r="J15" t="s">
        <v>327</v>
      </c>
    </row>
    <row r="16" spans="1:10" x14ac:dyDescent="0.3">
      <c r="A16" t="s">
        <v>315</v>
      </c>
      <c r="B16" t="s">
        <v>288</v>
      </c>
      <c r="C16" t="s">
        <v>124</v>
      </c>
      <c r="D16">
        <v>3</v>
      </c>
      <c r="E16" s="4">
        <v>46043</v>
      </c>
      <c r="F16" s="4">
        <v>46047</v>
      </c>
      <c r="G16">
        <v>399</v>
      </c>
      <c r="H16">
        <v>1197</v>
      </c>
      <c r="I16">
        <v>957.6</v>
      </c>
      <c r="J16" t="s">
        <v>327</v>
      </c>
    </row>
    <row r="17" spans="5:6" x14ac:dyDescent="0.3">
      <c r="E17" s="4"/>
      <c r="F17" s="4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45775-2FE0-48FD-BAB1-A0D736A04B19}">
  <dimension ref="A3:B9"/>
  <sheetViews>
    <sheetView workbookViewId="0">
      <selection activeCell="A4" sqref="A4"/>
    </sheetView>
  </sheetViews>
  <sheetFormatPr defaultRowHeight="14.4" x14ac:dyDescent="0.3"/>
  <cols>
    <col min="1" max="1" width="25" bestFit="1" customWidth="1"/>
    <col min="2" max="2" width="30.44140625" bestFit="1" customWidth="1"/>
  </cols>
  <sheetData>
    <row r="3" spans="1:2" x14ac:dyDescent="0.3">
      <c r="A3" s="10" t="s">
        <v>332</v>
      </c>
      <c r="B3" t="s">
        <v>335</v>
      </c>
    </row>
    <row r="4" spans="1:2" x14ac:dyDescent="0.3">
      <c r="A4" s="11" t="s">
        <v>330</v>
      </c>
      <c r="B4">
        <v>6384</v>
      </c>
    </row>
    <row r="5" spans="1:2" x14ac:dyDescent="0.3">
      <c r="A5" s="11" t="s">
        <v>327</v>
      </c>
      <c r="B5">
        <v>3814.4</v>
      </c>
    </row>
    <row r="6" spans="1:2" x14ac:dyDescent="0.3">
      <c r="A6" s="11" t="s">
        <v>328</v>
      </c>
      <c r="B6">
        <v>199.20000000000002</v>
      </c>
    </row>
    <row r="7" spans="1:2" x14ac:dyDescent="0.3">
      <c r="A7" s="11" t="s">
        <v>331</v>
      </c>
      <c r="B7">
        <v>1432.8000000000002</v>
      </c>
    </row>
    <row r="8" spans="1:2" x14ac:dyDescent="0.3">
      <c r="A8" s="11" t="s">
        <v>329</v>
      </c>
      <c r="B8">
        <v>4869.6000000000004</v>
      </c>
    </row>
    <row r="9" spans="1:2" x14ac:dyDescent="0.3">
      <c r="A9" s="11" t="s">
        <v>333</v>
      </c>
      <c r="B9">
        <v>16700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222EE-1CDF-44B2-B380-3D56AAFEFE4E}">
  <dimension ref="A1:O14"/>
  <sheetViews>
    <sheetView tabSelected="1" zoomScale="70" zoomScaleNormal="70" workbookViewId="0">
      <selection activeCell="A2" sqref="A2"/>
    </sheetView>
  </sheetViews>
  <sheetFormatPr defaultRowHeight="14.4" x14ac:dyDescent="0.3"/>
  <cols>
    <col min="1" max="1" width="17.5546875" customWidth="1"/>
    <col min="2" max="6" width="18.109375" customWidth="1"/>
    <col min="7" max="7" width="18.44140625" customWidth="1"/>
    <col min="8" max="8" width="18.109375" customWidth="1"/>
    <col min="9" max="9" width="25.77734375" customWidth="1"/>
    <col min="10" max="10" width="35.88671875" customWidth="1"/>
  </cols>
  <sheetData>
    <row r="1" spans="1:15" x14ac:dyDescent="0.3">
      <c r="A1" s="6" t="s">
        <v>300</v>
      </c>
      <c r="B1" s="6" t="s">
        <v>257</v>
      </c>
      <c r="C1" s="6" t="s">
        <v>0</v>
      </c>
      <c r="D1" s="6" t="s">
        <v>259</v>
      </c>
      <c r="E1" s="6" t="s">
        <v>258</v>
      </c>
      <c r="F1" s="6" t="s">
        <v>301</v>
      </c>
      <c r="G1" s="6" t="s">
        <v>317</v>
      </c>
      <c r="H1" s="6" t="s">
        <v>316</v>
      </c>
      <c r="I1" s="6" t="s">
        <v>321</v>
      </c>
      <c r="J1" s="6" t="s">
        <v>302</v>
      </c>
      <c r="K1" s="6"/>
      <c r="L1" s="6"/>
      <c r="M1" s="6"/>
      <c r="N1" s="6"/>
      <c r="O1" s="6"/>
    </row>
    <row r="2" spans="1:15" x14ac:dyDescent="0.3">
      <c r="A2" t="s">
        <v>303</v>
      </c>
      <c r="B2" t="s">
        <v>263</v>
      </c>
      <c r="C2" t="s">
        <v>18</v>
      </c>
      <c r="D2">
        <v>4</v>
      </c>
      <c r="E2" s="4">
        <v>46074</v>
      </c>
      <c r="F2" s="4">
        <f ca="1">E2+ RANDBETWEEN(1,7)</f>
        <v>46076</v>
      </c>
      <c r="G2">
        <v>549</v>
      </c>
      <c r="H2" s="7">
        <f xml:space="preserve"> D2 * G2</f>
        <v>2196</v>
      </c>
      <c r="I2" s="7">
        <f xml:space="preserve"> H2 * 0.8</f>
        <v>1756.8000000000002</v>
      </c>
      <c r="J2" t="s">
        <v>327</v>
      </c>
    </row>
    <row r="3" spans="1:15" x14ac:dyDescent="0.3">
      <c r="A3" t="s">
        <v>304</v>
      </c>
      <c r="B3" t="s">
        <v>265</v>
      </c>
      <c r="C3" t="s">
        <v>29</v>
      </c>
      <c r="D3">
        <v>1</v>
      </c>
      <c r="E3" s="4">
        <v>46043</v>
      </c>
      <c r="F3" s="4">
        <f t="shared" ref="F3:F14" ca="1" si="0">E3+ RANDBETWEEN(1,7)</f>
        <v>46050</v>
      </c>
      <c r="G3">
        <v>179</v>
      </c>
      <c r="H3" s="7">
        <f t="shared" ref="H3:H14" si="1" xml:space="preserve"> D3 * G3</f>
        <v>179</v>
      </c>
      <c r="I3" s="7">
        <f t="shared" ref="I3:I14" si="2" xml:space="preserve"> H3 * 0.8</f>
        <v>143.20000000000002</v>
      </c>
      <c r="J3" t="s">
        <v>327</v>
      </c>
    </row>
    <row r="4" spans="1:15" x14ac:dyDescent="0.3">
      <c r="A4" t="s">
        <v>305</v>
      </c>
      <c r="B4" t="s">
        <v>266</v>
      </c>
      <c r="C4" t="s">
        <v>33</v>
      </c>
      <c r="D4">
        <v>1</v>
      </c>
      <c r="E4" s="4">
        <v>46077</v>
      </c>
      <c r="F4" s="4">
        <f t="shared" ca="1" si="0"/>
        <v>46080</v>
      </c>
      <c r="G4">
        <v>249</v>
      </c>
      <c r="H4" s="7">
        <f t="shared" si="1"/>
        <v>249</v>
      </c>
      <c r="I4" s="7">
        <f t="shared" si="2"/>
        <v>199.20000000000002</v>
      </c>
      <c r="J4" t="s">
        <v>328</v>
      </c>
    </row>
    <row r="5" spans="1:15" x14ac:dyDescent="0.3">
      <c r="A5" t="s">
        <v>306</v>
      </c>
      <c r="B5" t="s">
        <v>267</v>
      </c>
      <c r="C5" t="s">
        <v>39</v>
      </c>
      <c r="D5">
        <v>4</v>
      </c>
      <c r="E5" s="4">
        <v>46065</v>
      </c>
      <c r="F5" s="4">
        <f t="shared" ca="1" si="0"/>
        <v>46072</v>
      </c>
      <c r="G5">
        <v>499</v>
      </c>
      <c r="H5" s="7">
        <f t="shared" si="1"/>
        <v>1996</v>
      </c>
      <c r="I5" s="7">
        <f t="shared" si="2"/>
        <v>1596.8000000000002</v>
      </c>
      <c r="J5" t="s">
        <v>329</v>
      </c>
    </row>
    <row r="6" spans="1:15" x14ac:dyDescent="0.3">
      <c r="A6" t="s">
        <v>307</v>
      </c>
      <c r="B6" t="s">
        <v>272</v>
      </c>
      <c r="C6" t="s">
        <v>64</v>
      </c>
      <c r="D6">
        <v>8</v>
      </c>
      <c r="E6" s="4">
        <v>46037</v>
      </c>
      <c r="F6" s="4">
        <f t="shared" ca="1" si="0"/>
        <v>46043</v>
      </c>
      <c r="G6">
        <v>499</v>
      </c>
      <c r="H6" s="7">
        <f t="shared" si="1"/>
        <v>3992</v>
      </c>
      <c r="I6" s="7">
        <f t="shared" si="2"/>
        <v>3193.6000000000004</v>
      </c>
      <c r="J6" t="s">
        <v>329</v>
      </c>
    </row>
    <row r="7" spans="1:15" x14ac:dyDescent="0.3">
      <c r="A7" t="s">
        <v>308</v>
      </c>
      <c r="B7" t="s">
        <v>276</v>
      </c>
      <c r="C7" t="s">
        <v>79</v>
      </c>
      <c r="D7">
        <v>4</v>
      </c>
      <c r="E7" s="4">
        <v>46056</v>
      </c>
      <c r="F7" s="4">
        <f t="shared" ca="1" si="0"/>
        <v>46063</v>
      </c>
      <c r="G7">
        <v>249</v>
      </c>
      <c r="H7" s="7">
        <f t="shared" si="1"/>
        <v>996</v>
      </c>
      <c r="I7" s="7">
        <f t="shared" si="2"/>
        <v>796.80000000000007</v>
      </c>
      <c r="J7" t="s">
        <v>330</v>
      </c>
    </row>
    <row r="8" spans="1:15" x14ac:dyDescent="0.3">
      <c r="A8" t="s">
        <v>309</v>
      </c>
      <c r="B8" t="s">
        <v>280</v>
      </c>
      <c r="C8" t="s">
        <v>93</v>
      </c>
      <c r="D8">
        <v>6</v>
      </c>
      <c r="E8" s="4">
        <v>46049</v>
      </c>
      <c r="F8" s="4">
        <f t="shared" ca="1" si="0"/>
        <v>46054</v>
      </c>
      <c r="G8">
        <v>149</v>
      </c>
      <c r="H8" s="7">
        <f t="shared" si="1"/>
        <v>894</v>
      </c>
      <c r="I8" s="7">
        <f t="shared" si="2"/>
        <v>715.2</v>
      </c>
      <c r="J8" t="s">
        <v>331</v>
      </c>
    </row>
    <row r="9" spans="1:15" x14ac:dyDescent="0.3">
      <c r="A9" t="s">
        <v>310</v>
      </c>
      <c r="B9" t="s">
        <v>281</v>
      </c>
      <c r="C9" t="s">
        <v>97</v>
      </c>
      <c r="D9">
        <v>7</v>
      </c>
      <c r="E9" s="4">
        <v>46078</v>
      </c>
      <c r="F9" s="4">
        <f t="shared" ca="1" si="0"/>
        <v>46080</v>
      </c>
      <c r="G9">
        <v>549</v>
      </c>
      <c r="H9" s="7">
        <f t="shared" si="1"/>
        <v>3843</v>
      </c>
      <c r="I9" s="7">
        <f t="shared" si="2"/>
        <v>3074.4</v>
      </c>
      <c r="J9" t="s">
        <v>330</v>
      </c>
    </row>
    <row r="10" spans="1:15" x14ac:dyDescent="0.3">
      <c r="A10" t="s">
        <v>311</v>
      </c>
      <c r="B10" t="s">
        <v>282</v>
      </c>
      <c r="C10" t="s">
        <v>101</v>
      </c>
      <c r="D10">
        <v>9</v>
      </c>
      <c r="E10" s="4">
        <v>46045</v>
      </c>
      <c r="F10" s="4">
        <f t="shared" ca="1" si="0"/>
        <v>46046</v>
      </c>
      <c r="G10">
        <v>349</v>
      </c>
      <c r="H10" s="7">
        <f t="shared" si="1"/>
        <v>3141</v>
      </c>
      <c r="I10" s="7">
        <f t="shared" si="2"/>
        <v>2512.8000000000002</v>
      </c>
      <c r="J10" t="s">
        <v>330</v>
      </c>
    </row>
    <row r="11" spans="1:15" x14ac:dyDescent="0.3">
      <c r="A11" t="s">
        <v>312</v>
      </c>
      <c r="B11" t="s">
        <v>283</v>
      </c>
      <c r="C11" t="s">
        <v>105</v>
      </c>
      <c r="D11">
        <v>1</v>
      </c>
      <c r="E11" s="4">
        <v>46081</v>
      </c>
      <c r="F11" s="4">
        <f t="shared" ca="1" si="0"/>
        <v>46085</v>
      </c>
      <c r="G11">
        <v>99</v>
      </c>
      <c r="H11" s="7">
        <f t="shared" si="1"/>
        <v>99</v>
      </c>
      <c r="I11" s="7">
        <f t="shared" si="2"/>
        <v>79.2</v>
      </c>
      <c r="J11" t="s">
        <v>329</v>
      </c>
    </row>
    <row r="12" spans="1:15" x14ac:dyDescent="0.3">
      <c r="A12" t="s">
        <v>313</v>
      </c>
      <c r="B12" t="s">
        <v>285</v>
      </c>
      <c r="C12" t="s">
        <v>112</v>
      </c>
      <c r="D12">
        <v>3</v>
      </c>
      <c r="E12" s="4">
        <v>46026</v>
      </c>
      <c r="F12" s="4">
        <f t="shared" ca="1" si="0"/>
        <v>46029</v>
      </c>
      <c r="G12">
        <v>299</v>
      </c>
      <c r="H12" s="7">
        <f t="shared" si="1"/>
        <v>897</v>
      </c>
      <c r="I12" s="7">
        <f t="shared" si="2"/>
        <v>717.6</v>
      </c>
      <c r="J12" t="s">
        <v>331</v>
      </c>
    </row>
    <row r="13" spans="1:15" x14ac:dyDescent="0.3">
      <c r="A13" t="s">
        <v>314</v>
      </c>
      <c r="B13" t="s">
        <v>287</v>
      </c>
      <c r="C13" t="s">
        <v>120</v>
      </c>
      <c r="D13">
        <v>4</v>
      </c>
      <c r="E13" s="4">
        <v>46023</v>
      </c>
      <c r="F13" s="4">
        <f t="shared" ca="1" si="0"/>
        <v>46026</v>
      </c>
      <c r="G13">
        <v>299</v>
      </c>
      <c r="H13" s="7">
        <f t="shared" si="1"/>
        <v>1196</v>
      </c>
      <c r="I13" s="7">
        <f t="shared" si="2"/>
        <v>956.80000000000007</v>
      </c>
      <c r="J13" t="s">
        <v>327</v>
      </c>
    </row>
    <row r="14" spans="1:15" x14ac:dyDescent="0.3">
      <c r="A14" t="s">
        <v>315</v>
      </c>
      <c r="B14" t="s">
        <v>288</v>
      </c>
      <c r="C14" t="s">
        <v>124</v>
      </c>
      <c r="D14">
        <v>3</v>
      </c>
      <c r="E14" s="4">
        <v>46043</v>
      </c>
      <c r="F14" s="4">
        <f t="shared" ca="1" si="0"/>
        <v>46047</v>
      </c>
      <c r="G14">
        <v>399</v>
      </c>
      <c r="H14" s="7">
        <f t="shared" si="1"/>
        <v>1197</v>
      </c>
      <c r="I14" s="7">
        <f t="shared" si="2"/>
        <v>957.6</v>
      </c>
      <c r="J14" t="s">
        <v>327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ED86D-9AE0-4532-BF06-273A547B2404}">
  <dimension ref="A1:G21"/>
  <sheetViews>
    <sheetView workbookViewId="0"/>
  </sheetViews>
  <sheetFormatPr defaultRowHeight="14.4" x14ac:dyDescent="0.3"/>
  <cols>
    <col min="1" max="1" width="22.33203125" bestFit="1" customWidth="1"/>
    <col min="2" max="2" width="26.6640625" bestFit="1" customWidth="1"/>
    <col min="3" max="3" width="27" bestFit="1" customWidth="1"/>
    <col min="4" max="4" width="35.6640625" bestFit="1" customWidth="1"/>
    <col min="5" max="5" width="24.44140625" bestFit="1" customWidth="1"/>
    <col min="6" max="6" width="33" bestFit="1" customWidth="1"/>
    <col min="7" max="7" width="28" bestFit="1" customWidth="1"/>
  </cols>
  <sheetData>
    <row r="1" spans="1:7" x14ac:dyDescent="0.3">
      <c r="A1" s="24" t="s">
        <v>364</v>
      </c>
    </row>
    <row r="3" spans="1:7" x14ac:dyDescent="0.3">
      <c r="A3" t="s">
        <v>357</v>
      </c>
      <c r="B3" t="s">
        <v>358</v>
      </c>
      <c r="C3" t="s">
        <v>359</v>
      </c>
      <c r="D3" t="s">
        <v>360</v>
      </c>
      <c r="E3" t="s">
        <v>361</v>
      </c>
      <c r="F3" t="s">
        <v>362</v>
      </c>
      <c r="G3" t="s">
        <v>363</v>
      </c>
    </row>
    <row r="4" spans="1:7" x14ac:dyDescent="0.3">
      <c r="A4" t="s">
        <v>262</v>
      </c>
      <c r="B4" s="4">
        <v>46079</v>
      </c>
      <c r="C4">
        <v>3</v>
      </c>
      <c r="D4" s="4">
        <v>46082</v>
      </c>
      <c r="E4">
        <v>3</v>
      </c>
      <c r="F4" s="4">
        <v>46082</v>
      </c>
      <c r="G4" t="s">
        <v>337</v>
      </c>
    </row>
    <row r="5" spans="1:7" x14ac:dyDescent="0.3">
      <c r="A5" t="s">
        <v>264</v>
      </c>
      <c r="B5" s="4">
        <v>46028</v>
      </c>
      <c r="C5">
        <v>4</v>
      </c>
      <c r="D5" s="4">
        <v>46032</v>
      </c>
      <c r="E5">
        <v>5</v>
      </c>
      <c r="F5" s="4">
        <v>46033</v>
      </c>
      <c r="G5" t="s">
        <v>336</v>
      </c>
    </row>
    <row r="6" spans="1:7" x14ac:dyDescent="0.3">
      <c r="A6" t="s">
        <v>268</v>
      </c>
      <c r="B6" s="4">
        <v>46030</v>
      </c>
      <c r="C6">
        <v>2</v>
      </c>
      <c r="D6" s="4">
        <v>46032</v>
      </c>
      <c r="E6">
        <v>1</v>
      </c>
      <c r="F6" s="4">
        <v>46031</v>
      </c>
      <c r="G6" t="s">
        <v>337</v>
      </c>
    </row>
    <row r="7" spans="1:7" x14ac:dyDescent="0.3">
      <c r="A7" t="s">
        <v>269</v>
      </c>
      <c r="B7" s="4">
        <v>46056</v>
      </c>
      <c r="C7">
        <v>6</v>
      </c>
      <c r="D7" s="4">
        <v>46062</v>
      </c>
      <c r="E7">
        <v>6</v>
      </c>
      <c r="F7" s="4">
        <v>46062</v>
      </c>
      <c r="G7" t="s">
        <v>337</v>
      </c>
    </row>
    <row r="8" spans="1:7" x14ac:dyDescent="0.3">
      <c r="A8" t="s">
        <v>270</v>
      </c>
      <c r="B8" s="4">
        <v>46062</v>
      </c>
      <c r="C8">
        <v>7</v>
      </c>
      <c r="D8" s="4">
        <v>46069</v>
      </c>
      <c r="E8">
        <v>8</v>
      </c>
      <c r="F8" s="4">
        <v>46070</v>
      </c>
      <c r="G8" t="s">
        <v>336</v>
      </c>
    </row>
    <row r="9" spans="1:7" x14ac:dyDescent="0.3">
      <c r="A9" t="s">
        <v>271</v>
      </c>
      <c r="B9" s="4">
        <v>46041</v>
      </c>
      <c r="C9">
        <v>4</v>
      </c>
      <c r="D9" s="4">
        <v>46045</v>
      </c>
      <c r="E9">
        <v>5</v>
      </c>
      <c r="F9" s="4">
        <v>46046</v>
      </c>
      <c r="G9" t="s">
        <v>336</v>
      </c>
    </row>
    <row r="10" spans="1:7" x14ac:dyDescent="0.3">
      <c r="A10" t="s">
        <v>273</v>
      </c>
      <c r="B10" s="4">
        <v>46051</v>
      </c>
      <c r="C10">
        <v>5</v>
      </c>
      <c r="D10" s="4">
        <v>46056</v>
      </c>
      <c r="E10">
        <v>8</v>
      </c>
      <c r="F10" s="4">
        <v>46059</v>
      </c>
      <c r="G10" t="s">
        <v>336</v>
      </c>
    </row>
    <row r="11" spans="1:7" x14ac:dyDescent="0.3">
      <c r="A11" t="s">
        <v>274</v>
      </c>
      <c r="B11" s="4">
        <v>46073</v>
      </c>
      <c r="C11">
        <v>3</v>
      </c>
      <c r="D11" s="4">
        <v>46076</v>
      </c>
      <c r="E11">
        <v>2</v>
      </c>
      <c r="F11" s="4">
        <v>46075</v>
      </c>
      <c r="G11" t="s">
        <v>337</v>
      </c>
    </row>
    <row r="12" spans="1:7" x14ac:dyDescent="0.3">
      <c r="A12" t="s">
        <v>275</v>
      </c>
      <c r="B12" s="4">
        <v>46060</v>
      </c>
      <c r="C12">
        <v>7</v>
      </c>
      <c r="D12" s="4">
        <v>46067</v>
      </c>
      <c r="E12">
        <v>4</v>
      </c>
      <c r="F12" s="4">
        <v>46064</v>
      </c>
      <c r="G12" t="s">
        <v>337</v>
      </c>
    </row>
    <row r="13" spans="1:7" x14ac:dyDescent="0.3">
      <c r="A13" t="s">
        <v>277</v>
      </c>
      <c r="B13" s="4">
        <v>46042</v>
      </c>
      <c r="C13">
        <v>2</v>
      </c>
      <c r="D13" s="4">
        <v>46044</v>
      </c>
      <c r="E13">
        <v>3</v>
      </c>
      <c r="F13" s="4">
        <v>46045</v>
      </c>
      <c r="G13" t="s">
        <v>336</v>
      </c>
    </row>
    <row r="14" spans="1:7" x14ac:dyDescent="0.3">
      <c r="A14" t="s">
        <v>278</v>
      </c>
      <c r="B14" s="4">
        <v>46056</v>
      </c>
      <c r="C14">
        <v>4</v>
      </c>
      <c r="D14" s="4">
        <v>46060</v>
      </c>
      <c r="E14">
        <v>1</v>
      </c>
      <c r="F14" s="4">
        <v>46057</v>
      </c>
      <c r="G14" t="s">
        <v>337</v>
      </c>
    </row>
    <row r="15" spans="1:7" x14ac:dyDescent="0.3">
      <c r="A15" t="s">
        <v>279</v>
      </c>
      <c r="B15" s="4">
        <v>46026</v>
      </c>
      <c r="C15">
        <v>4</v>
      </c>
      <c r="D15" s="4">
        <v>46030</v>
      </c>
      <c r="E15">
        <v>3</v>
      </c>
      <c r="F15" s="4">
        <v>46029</v>
      </c>
      <c r="G15" t="s">
        <v>337</v>
      </c>
    </row>
    <row r="16" spans="1:7" x14ac:dyDescent="0.3">
      <c r="A16" t="s">
        <v>284</v>
      </c>
      <c r="B16" s="4">
        <v>46076</v>
      </c>
      <c r="C16">
        <v>6</v>
      </c>
      <c r="D16" s="4">
        <v>46082</v>
      </c>
      <c r="E16">
        <v>5</v>
      </c>
      <c r="F16" s="4">
        <v>46081</v>
      </c>
      <c r="G16" t="s">
        <v>337</v>
      </c>
    </row>
    <row r="17" spans="1:7" x14ac:dyDescent="0.3">
      <c r="A17" t="s">
        <v>286</v>
      </c>
      <c r="B17" s="4">
        <v>46027</v>
      </c>
      <c r="C17">
        <v>6</v>
      </c>
      <c r="D17" s="4">
        <v>46033</v>
      </c>
      <c r="E17">
        <v>4</v>
      </c>
      <c r="F17" s="4">
        <v>46031</v>
      </c>
      <c r="G17" t="s">
        <v>337</v>
      </c>
    </row>
    <row r="18" spans="1:7" x14ac:dyDescent="0.3">
      <c r="A18" t="s">
        <v>289</v>
      </c>
      <c r="B18" s="4">
        <v>46030</v>
      </c>
      <c r="C18">
        <v>2</v>
      </c>
      <c r="D18" s="4">
        <v>46032</v>
      </c>
      <c r="E18">
        <v>3</v>
      </c>
      <c r="F18" s="4">
        <v>46033</v>
      </c>
      <c r="G18" t="s">
        <v>336</v>
      </c>
    </row>
    <row r="19" spans="1:7" x14ac:dyDescent="0.3">
      <c r="A19" t="s">
        <v>290</v>
      </c>
      <c r="B19" s="4">
        <v>46052</v>
      </c>
      <c r="C19">
        <v>4</v>
      </c>
      <c r="D19" s="4">
        <v>46056</v>
      </c>
      <c r="E19">
        <v>2</v>
      </c>
      <c r="F19" s="4">
        <v>46054</v>
      </c>
      <c r="G19" t="s">
        <v>337</v>
      </c>
    </row>
    <row r="20" spans="1:7" x14ac:dyDescent="0.3">
      <c r="A20" t="s">
        <v>291</v>
      </c>
      <c r="B20" s="4">
        <v>46030</v>
      </c>
      <c r="C20">
        <v>7</v>
      </c>
      <c r="D20" s="4">
        <v>46037</v>
      </c>
      <c r="E20">
        <v>4</v>
      </c>
      <c r="F20" s="4">
        <v>46034</v>
      </c>
      <c r="G20" t="s">
        <v>337</v>
      </c>
    </row>
    <row r="21" spans="1:7" x14ac:dyDescent="0.3">
      <c r="B21" s="4"/>
      <c r="D21" s="4"/>
      <c r="F21" s="4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30B08-5D57-459D-AD22-9B20660B830A}">
  <dimension ref="A3:B6"/>
  <sheetViews>
    <sheetView workbookViewId="0">
      <selection activeCell="B5" sqref="B5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10" t="s">
        <v>332</v>
      </c>
      <c r="B3" t="s">
        <v>338</v>
      </c>
    </row>
    <row r="4" spans="1:2" x14ac:dyDescent="0.3">
      <c r="A4" s="11" t="s">
        <v>336</v>
      </c>
      <c r="B4">
        <v>6</v>
      </c>
    </row>
    <row r="5" spans="1:2" x14ac:dyDescent="0.3">
      <c r="A5" s="11" t="s">
        <v>337</v>
      </c>
      <c r="B5">
        <v>11</v>
      </c>
    </row>
    <row r="6" spans="1:2" x14ac:dyDescent="0.3">
      <c r="A6" s="11" t="s">
        <v>333</v>
      </c>
      <c r="B6">
        <v>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781A8-D4A6-48BE-A7C2-2410E6DE0CCF}">
  <dimension ref="A1:B18"/>
  <sheetViews>
    <sheetView workbookViewId="0">
      <selection activeCell="B3" sqref="B3"/>
    </sheetView>
  </sheetViews>
  <sheetFormatPr defaultRowHeight="14.4" x14ac:dyDescent="0.3"/>
  <cols>
    <col min="1" max="1" width="23.77734375" customWidth="1"/>
    <col min="2" max="2" width="23" customWidth="1"/>
  </cols>
  <sheetData>
    <row r="1" spans="1:2" x14ac:dyDescent="0.3">
      <c r="A1" s="24" t="s">
        <v>340</v>
      </c>
      <c r="B1" s="24" t="s">
        <v>341</v>
      </c>
    </row>
    <row r="2" spans="1:2" x14ac:dyDescent="0.3">
      <c r="A2" t="s">
        <v>342</v>
      </c>
      <c r="B2" s="26">
        <v>48286</v>
      </c>
    </row>
    <row r="3" spans="1:2" x14ac:dyDescent="0.3">
      <c r="A3" t="s">
        <v>343</v>
      </c>
      <c r="B3" s="26">
        <v>16700</v>
      </c>
    </row>
    <row r="4" spans="1:2" x14ac:dyDescent="0.3">
      <c r="A4" t="s">
        <v>355</v>
      </c>
      <c r="B4" s="25">
        <f xml:space="preserve"> B3 / B2</f>
        <v>0.34585594168081846</v>
      </c>
    </row>
    <row r="5" spans="1:2" x14ac:dyDescent="0.3">
      <c r="A5" t="s">
        <v>356</v>
      </c>
      <c r="B5" s="24">
        <v>17</v>
      </c>
    </row>
    <row r="6" spans="1:2" x14ac:dyDescent="0.3">
      <c r="A6" t="s">
        <v>365</v>
      </c>
      <c r="B6" s="25">
        <f xml:space="preserve"> B10/B5</f>
        <v>0.6470588235294118</v>
      </c>
    </row>
    <row r="10" spans="1:2" x14ac:dyDescent="0.3">
      <c r="B10">
        <v>11</v>
      </c>
    </row>
    <row r="18" spans="2:2" x14ac:dyDescent="0.3">
      <c r="B18" s="2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FFC71-17C6-4214-BCB6-C7207DD677E3}">
  <dimension ref="A1:I18"/>
  <sheetViews>
    <sheetView topLeftCell="A2" zoomScale="55" zoomScaleNormal="55" workbookViewId="0">
      <selection activeCell="A4" sqref="A4"/>
    </sheetView>
  </sheetViews>
  <sheetFormatPr defaultRowHeight="14.4" x14ac:dyDescent="0.3"/>
  <cols>
    <col min="1" max="1" width="18.33203125" customWidth="1"/>
    <col min="2" max="2" width="19" customWidth="1"/>
    <col min="3" max="3" width="19.21875" customWidth="1"/>
    <col min="4" max="4" width="30.5546875" customWidth="1"/>
    <col min="5" max="5" width="17.5546875" customWidth="1"/>
    <col min="6" max="6" width="27.21875" customWidth="1"/>
    <col min="7" max="7" width="20.77734375" customWidth="1"/>
  </cols>
  <sheetData>
    <row r="1" spans="1:9" x14ac:dyDescent="0.3">
      <c r="A1" s="5" t="s">
        <v>257</v>
      </c>
      <c r="B1" s="5" t="s">
        <v>297</v>
      </c>
      <c r="C1" s="5" t="s">
        <v>292</v>
      </c>
      <c r="D1" s="5" t="s">
        <v>298</v>
      </c>
      <c r="E1" s="5" t="s">
        <v>293</v>
      </c>
      <c r="F1" s="5" t="s">
        <v>299</v>
      </c>
      <c r="G1" s="5" t="s">
        <v>294</v>
      </c>
      <c r="H1" s="5"/>
      <c r="I1" s="5"/>
    </row>
    <row r="2" spans="1:9" x14ac:dyDescent="0.3">
      <c r="A2" t="s">
        <v>262</v>
      </c>
      <c r="B2" s="4">
        <f>_xlfn.XLOOKUP(A2, Orders!A:A, Orders!B:B)</f>
        <v>46079</v>
      </c>
      <c r="C2">
        <v>3</v>
      </c>
      <c r="D2" s="4">
        <f>B2+C2</f>
        <v>46082</v>
      </c>
      <c r="E2">
        <v>3</v>
      </c>
      <c r="F2" s="4">
        <f>B2+E2</f>
        <v>46082</v>
      </c>
      <c r="G2" t="str">
        <f>IF(F2 &gt;D2,"Late","On-Time")</f>
        <v>On-Time</v>
      </c>
    </row>
    <row r="3" spans="1:9" x14ac:dyDescent="0.3">
      <c r="A3" t="s">
        <v>264</v>
      </c>
      <c r="B3" s="4">
        <f>_xlfn.XLOOKUP(A3, Orders!A:A, Orders!B:B)</f>
        <v>46028</v>
      </c>
      <c r="C3">
        <v>4</v>
      </c>
      <c r="D3" s="4">
        <f t="shared" ref="D3:D18" si="0">B3+C3</f>
        <v>46032</v>
      </c>
      <c r="E3">
        <v>5</v>
      </c>
      <c r="F3" s="4">
        <f t="shared" ref="F3:F18" si="1">B3+E3</f>
        <v>46033</v>
      </c>
      <c r="G3" t="str">
        <f t="shared" ref="G3:G18" si="2">IF(F3 &gt;D3,"Late","On-Time")</f>
        <v>Late</v>
      </c>
    </row>
    <row r="4" spans="1:9" x14ac:dyDescent="0.3">
      <c r="A4" t="s">
        <v>268</v>
      </c>
      <c r="B4" s="4">
        <f>_xlfn.XLOOKUP(A4, Orders!A:A, Orders!B:B)</f>
        <v>46030</v>
      </c>
      <c r="C4">
        <v>2</v>
      </c>
      <c r="D4" s="4">
        <f t="shared" si="0"/>
        <v>46032</v>
      </c>
      <c r="E4">
        <v>1</v>
      </c>
      <c r="F4" s="4">
        <f t="shared" si="1"/>
        <v>46031</v>
      </c>
      <c r="G4" t="str">
        <f t="shared" si="2"/>
        <v>On-Time</v>
      </c>
    </row>
    <row r="5" spans="1:9" x14ac:dyDescent="0.3">
      <c r="A5" t="s">
        <v>269</v>
      </c>
      <c r="B5" s="4">
        <f>_xlfn.XLOOKUP(A5, Orders!A:A, Orders!B:B)</f>
        <v>46056</v>
      </c>
      <c r="C5">
        <v>6</v>
      </c>
      <c r="D5" s="4">
        <f t="shared" si="0"/>
        <v>46062</v>
      </c>
      <c r="E5">
        <v>6</v>
      </c>
      <c r="F5" s="4">
        <f t="shared" si="1"/>
        <v>46062</v>
      </c>
      <c r="G5" t="str">
        <f t="shared" si="2"/>
        <v>On-Time</v>
      </c>
    </row>
    <row r="6" spans="1:9" x14ac:dyDescent="0.3">
      <c r="A6" t="s">
        <v>270</v>
      </c>
      <c r="B6" s="4">
        <f>_xlfn.XLOOKUP(A6, Orders!A:A, Orders!B:B)</f>
        <v>46062</v>
      </c>
      <c r="C6">
        <v>7</v>
      </c>
      <c r="D6" s="4">
        <f t="shared" si="0"/>
        <v>46069</v>
      </c>
      <c r="E6">
        <v>8</v>
      </c>
      <c r="F6" s="4">
        <f t="shared" si="1"/>
        <v>46070</v>
      </c>
      <c r="G6" t="str">
        <f t="shared" si="2"/>
        <v>Late</v>
      </c>
    </row>
    <row r="7" spans="1:9" x14ac:dyDescent="0.3">
      <c r="A7" t="s">
        <v>271</v>
      </c>
      <c r="B7" s="4">
        <f>_xlfn.XLOOKUP(A7, Orders!A:A, Orders!B:B)</f>
        <v>46041</v>
      </c>
      <c r="C7">
        <v>4</v>
      </c>
      <c r="D7" s="4">
        <f t="shared" si="0"/>
        <v>46045</v>
      </c>
      <c r="E7">
        <v>5</v>
      </c>
      <c r="F7" s="4">
        <f t="shared" si="1"/>
        <v>46046</v>
      </c>
      <c r="G7" t="str">
        <f t="shared" si="2"/>
        <v>Late</v>
      </c>
    </row>
    <row r="8" spans="1:9" x14ac:dyDescent="0.3">
      <c r="A8" t="s">
        <v>273</v>
      </c>
      <c r="B8" s="4">
        <f>_xlfn.XLOOKUP(A8, Orders!A:A, Orders!B:B)</f>
        <v>46051</v>
      </c>
      <c r="C8">
        <v>5</v>
      </c>
      <c r="D8" s="4">
        <f t="shared" si="0"/>
        <v>46056</v>
      </c>
      <c r="E8">
        <v>8</v>
      </c>
      <c r="F8" s="4">
        <f t="shared" si="1"/>
        <v>46059</v>
      </c>
      <c r="G8" t="str">
        <f t="shared" si="2"/>
        <v>Late</v>
      </c>
    </row>
    <row r="9" spans="1:9" x14ac:dyDescent="0.3">
      <c r="A9" t="s">
        <v>274</v>
      </c>
      <c r="B9" s="4">
        <f>_xlfn.XLOOKUP(A9, Orders!A:A, Orders!B:B)</f>
        <v>46073</v>
      </c>
      <c r="C9">
        <v>3</v>
      </c>
      <c r="D9" s="4">
        <f t="shared" si="0"/>
        <v>46076</v>
      </c>
      <c r="E9">
        <v>2</v>
      </c>
      <c r="F9" s="4">
        <f t="shared" si="1"/>
        <v>46075</v>
      </c>
      <c r="G9" t="str">
        <f t="shared" si="2"/>
        <v>On-Time</v>
      </c>
    </row>
    <row r="10" spans="1:9" x14ac:dyDescent="0.3">
      <c r="A10" t="s">
        <v>275</v>
      </c>
      <c r="B10" s="4">
        <f>_xlfn.XLOOKUP(A10, Orders!A:A, Orders!B:B)</f>
        <v>46060</v>
      </c>
      <c r="C10">
        <v>7</v>
      </c>
      <c r="D10" s="4">
        <f t="shared" si="0"/>
        <v>46067</v>
      </c>
      <c r="E10">
        <v>4</v>
      </c>
      <c r="F10" s="4">
        <f t="shared" si="1"/>
        <v>46064</v>
      </c>
      <c r="G10" t="str">
        <f t="shared" si="2"/>
        <v>On-Time</v>
      </c>
    </row>
    <row r="11" spans="1:9" x14ac:dyDescent="0.3">
      <c r="A11" t="s">
        <v>277</v>
      </c>
      <c r="B11" s="4">
        <f>_xlfn.XLOOKUP(A11, Orders!A:A, Orders!B:B)</f>
        <v>46042</v>
      </c>
      <c r="C11">
        <v>2</v>
      </c>
      <c r="D11" s="4">
        <f t="shared" si="0"/>
        <v>46044</v>
      </c>
      <c r="E11">
        <v>3</v>
      </c>
      <c r="F11" s="4">
        <f t="shared" si="1"/>
        <v>46045</v>
      </c>
      <c r="G11" t="str">
        <f t="shared" si="2"/>
        <v>Late</v>
      </c>
    </row>
    <row r="12" spans="1:9" x14ac:dyDescent="0.3">
      <c r="A12" t="s">
        <v>278</v>
      </c>
      <c r="B12" s="4">
        <f>_xlfn.XLOOKUP(A12, Orders!A:A, Orders!B:B)</f>
        <v>46056</v>
      </c>
      <c r="C12">
        <v>4</v>
      </c>
      <c r="D12" s="4">
        <f t="shared" si="0"/>
        <v>46060</v>
      </c>
      <c r="E12">
        <v>1</v>
      </c>
      <c r="F12" s="4">
        <f t="shared" si="1"/>
        <v>46057</v>
      </c>
      <c r="G12" t="str">
        <f t="shared" si="2"/>
        <v>On-Time</v>
      </c>
    </row>
    <row r="13" spans="1:9" x14ac:dyDescent="0.3">
      <c r="A13" t="s">
        <v>279</v>
      </c>
      <c r="B13" s="4">
        <f>_xlfn.XLOOKUP(A13, Orders!A:A, Orders!B:B)</f>
        <v>46026</v>
      </c>
      <c r="C13">
        <v>4</v>
      </c>
      <c r="D13" s="4">
        <f t="shared" si="0"/>
        <v>46030</v>
      </c>
      <c r="E13">
        <v>3</v>
      </c>
      <c r="F13" s="4">
        <f t="shared" si="1"/>
        <v>46029</v>
      </c>
      <c r="G13" t="str">
        <f t="shared" si="2"/>
        <v>On-Time</v>
      </c>
    </row>
    <row r="14" spans="1:9" x14ac:dyDescent="0.3">
      <c r="A14" t="s">
        <v>284</v>
      </c>
      <c r="B14" s="4">
        <f>_xlfn.XLOOKUP(A14, Orders!A:A, Orders!B:B)</f>
        <v>46076</v>
      </c>
      <c r="C14">
        <v>6</v>
      </c>
      <c r="D14" s="4">
        <f t="shared" si="0"/>
        <v>46082</v>
      </c>
      <c r="E14">
        <v>5</v>
      </c>
      <c r="F14" s="4">
        <f t="shared" si="1"/>
        <v>46081</v>
      </c>
      <c r="G14" t="str">
        <f t="shared" si="2"/>
        <v>On-Time</v>
      </c>
    </row>
    <row r="15" spans="1:9" x14ac:dyDescent="0.3">
      <c r="A15" t="s">
        <v>286</v>
      </c>
      <c r="B15" s="4">
        <f>_xlfn.XLOOKUP(A15, Orders!A:A, Orders!B:B)</f>
        <v>46027</v>
      </c>
      <c r="C15">
        <v>6</v>
      </c>
      <c r="D15" s="4">
        <f t="shared" si="0"/>
        <v>46033</v>
      </c>
      <c r="E15">
        <v>4</v>
      </c>
      <c r="F15" s="4">
        <f t="shared" si="1"/>
        <v>46031</v>
      </c>
      <c r="G15" t="str">
        <f t="shared" si="2"/>
        <v>On-Time</v>
      </c>
    </row>
    <row r="16" spans="1:9" x14ac:dyDescent="0.3">
      <c r="A16" t="s">
        <v>289</v>
      </c>
      <c r="B16" s="4">
        <f>_xlfn.XLOOKUP(A16, Orders!A:A, Orders!B:B)</f>
        <v>46030</v>
      </c>
      <c r="C16">
        <v>2</v>
      </c>
      <c r="D16" s="4">
        <f t="shared" si="0"/>
        <v>46032</v>
      </c>
      <c r="E16">
        <v>3</v>
      </c>
      <c r="F16" s="4">
        <f t="shared" si="1"/>
        <v>46033</v>
      </c>
      <c r="G16" t="str">
        <f t="shared" si="2"/>
        <v>Late</v>
      </c>
    </row>
    <row r="17" spans="1:7" x14ac:dyDescent="0.3">
      <c r="A17" t="s">
        <v>290</v>
      </c>
      <c r="B17" s="4">
        <f>_xlfn.XLOOKUP(A17, Orders!A:A, Orders!B:B)</f>
        <v>46052</v>
      </c>
      <c r="C17">
        <v>4</v>
      </c>
      <c r="D17" s="4">
        <f t="shared" si="0"/>
        <v>46056</v>
      </c>
      <c r="E17">
        <v>2</v>
      </c>
      <c r="F17" s="4">
        <f t="shared" si="1"/>
        <v>46054</v>
      </c>
      <c r="G17" t="str">
        <f t="shared" si="2"/>
        <v>On-Time</v>
      </c>
    </row>
    <row r="18" spans="1:7" x14ac:dyDescent="0.3">
      <c r="A18" t="s">
        <v>291</v>
      </c>
      <c r="B18" s="4">
        <f>_xlfn.XLOOKUP(A18, Orders!A:A, Orders!B:B)</f>
        <v>46030</v>
      </c>
      <c r="C18">
        <v>7</v>
      </c>
      <c r="D18" s="4">
        <f t="shared" si="0"/>
        <v>46037</v>
      </c>
      <c r="E18">
        <v>4</v>
      </c>
      <c r="F18" s="4">
        <f t="shared" si="1"/>
        <v>46034</v>
      </c>
      <c r="G18" t="str">
        <f t="shared" si="2"/>
        <v>On-Time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0DD21-2B2E-4D3D-9149-41165A9A57C9}">
  <dimension ref="A1"/>
  <sheetViews>
    <sheetView showGridLines="0" zoomScale="70" zoomScaleNormal="70" workbookViewId="0">
      <selection activeCell="AD8" sqref="AD8"/>
    </sheetView>
  </sheetViews>
  <sheetFormatPr defaultRowHeight="14.4" x14ac:dyDescent="0.3"/>
  <sheetData/>
  <pageMargins left="0.7" right="0.7" top="0.75" bottom="0.75" header="0.3" footer="0.3"/>
  <pageSetup paperSize="6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B84D-9078-48A9-A398-8DB4A0E83039}">
  <dimension ref="A1:K39"/>
  <sheetViews>
    <sheetView workbookViewId="0"/>
  </sheetViews>
  <sheetFormatPr defaultRowHeight="14.4" x14ac:dyDescent="0.3"/>
  <cols>
    <col min="1" max="1" width="13.109375" customWidth="1"/>
    <col min="2" max="2" width="35.5546875" customWidth="1"/>
    <col min="3" max="3" width="24" customWidth="1"/>
    <col min="4" max="4" width="15" customWidth="1"/>
    <col min="5" max="5" width="10.88671875" customWidth="1"/>
    <col min="6" max="6" width="15.88671875" customWidth="1"/>
    <col min="7" max="7" width="19.33203125" customWidth="1"/>
    <col min="8" max="8" width="17.33203125" customWidth="1"/>
    <col min="9" max="9" width="20.5546875" customWidth="1"/>
    <col min="10" max="10" width="17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699</v>
      </c>
      <c r="F2">
        <v>349</v>
      </c>
      <c r="G2">
        <v>4.2</v>
      </c>
      <c r="H2">
        <v>1250</v>
      </c>
      <c r="I2" t="s">
        <v>15</v>
      </c>
      <c r="J2" t="s">
        <v>16</v>
      </c>
      <c r="K2" t="s">
        <v>17</v>
      </c>
    </row>
    <row r="3" spans="1:11" x14ac:dyDescent="0.3">
      <c r="A3" t="s">
        <v>18</v>
      </c>
      <c r="B3" t="s">
        <v>19</v>
      </c>
      <c r="C3" t="s">
        <v>13</v>
      </c>
      <c r="D3" t="s">
        <v>20</v>
      </c>
      <c r="E3">
        <v>1199</v>
      </c>
      <c r="F3">
        <v>549</v>
      </c>
      <c r="G3">
        <v>4</v>
      </c>
      <c r="H3">
        <v>980</v>
      </c>
      <c r="I3" t="s">
        <v>21</v>
      </c>
      <c r="J3" t="s">
        <v>22</v>
      </c>
      <c r="K3" t="s">
        <v>17</v>
      </c>
    </row>
    <row r="4" spans="1:11" x14ac:dyDescent="0.3">
      <c r="A4" t="s">
        <v>23</v>
      </c>
      <c r="B4" t="s">
        <v>24</v>
      </c>
      <c r="C4" t="s">
        <v>25</v>
      </c>
      <c r="D4" t="s">
        <v>26</v>
      </c>
      <c r="E4">
        <v>799</v>
      </c>
      <c r="F4">
        <v>399</v>
      </c>
      <c r="G4">
        <v>4.3</v>
      </c>
      <c r="H4">
        <v>650</v>
      </c>
      <c r="I4" t="s">
        <v>27</v>
      </c>
      <c r="J4" t="s">
        <v>28</v>
      </c>
      <c r="K4" t="s">
        <v>17</v>
      </c>
    </row>
    <row r="5" spans="1:11" x14ac:dyDescent="0.3">
      <c r="A5" t="s">
        <v>29</v>
      </c>
      <c r="B5" t="s">
        <v>30</v>
      </c>
      <c r="C5" t="s">
        <v>13</v>
      </c>
      <c r="D5" t="s">
        <v>31</v>
      </c>
      <c r="E5">
        <v>299</v>
      </c>
      <c r="F5">
        <v>179</v>
      </c>
      <c r="G5">
        <v>4.0999999999999996</v>
      </c>
      <c r="H5">
        <v>1150</v>
      </c>
      <c r="I5" t="s">
        <v>32</v>
      </c>
      <c r="J5" t="s">
        <v>16</v>
      </c>
      <c r="K5" t="s">
        <v>17</v>
      </c>
    </row>
    <row r="6" spans="1:11" x14ac:dyDescent="0.3">
      <c r="A6" t="s">
        <v>33</v>
      </c>
      <c r="B6" t="s">
        <v>34</v>
      </c>
      <c r="C6" t="s">
        <v>35</v>
      </c>
      <c r="D6" t="s">
        <v>36</v>
      </c>
      <c r="E6">
        <v>499</v>
      </c>
      <c r="F6">
        <v>249</v>
      </c>
      <c r="G6">
        <v>4.5</v>
      </c>
      <c r="H6">
        <v>820</v>
      </c>
      <c r="I6" t="s">
        <v>37</v>
      </c>
      <c r="J6" t="s">
        <v>38</v>
      </c>
      <c r="K6" t="s">
        <v>17</v>
      </c>
    </row>
    <row r="7" spans="1:11" x14ac:dyDescent="0.3">
      <c r="A7" t="s">
        <v>39</v>
      </c>
      <c r="B7" t="s">
        <v>40</v>
      </c>
      <c r="C7" t="s">
        <v>35</v>
      </c>
      <c r="D7" t="s">
        <v>41</v>
      </c>
      <c r="E7">
        <v>899</v>
      </c>
      <c r="F7">
        <v>499</v>
      </c>
      <c r="G7">
        <v>4.2</v>
      </c>
      <c r="H7">
        <v>720</v>
      </c>
      <c r="I7" t="s">
        <v>42</v>
      </c>
      <c r="J7" t="s">
        <v>43</v>
      </c>
      <c r="K7" t="s">
        <v>17</v>
      </c>
    </row>
    <row r="8" spans="1:11" x14ac:dyDescent="0.3">
      <c r="A8" t="s">
        <v>44</v>
      </c>
      <c r="B8" t="s">
        <v>45</v>
      </c>
      <c r="C8" t="s">
        <v>46</v>
      </c>
      <c r="D8" t="s">
        <v>47</v>
      </c>
      <c r="E8">
        <v>499</v>
      </c>
      <c r="F8">
        <v>259</v>
      </c>
      <c r="G8">
        <v>4.5999999999999996</v>
      </c>
      <c r="H8">
        <v>500</v>
      </c>
      <c r="I8" t="s">
        <v>48</v>
      </c>
      <c r="J8" t="s">
        <v>28</v>
      </c>
      <c r="K8" t="s">
        <v>17</v>
      </c>
    </row>
    <row r="9" spans="1:11" x14ac:dyDescent="0.3">
      <c r="A9" t="s">
        <v>49</v>
      </c>
      <c r="B9" t="s">
        <v>50</v>
      </c>
      <c r="C9" t="s">
        <v>51</v>
      </c>
      <c r="D9" t="s">
        <v>52</v>
      </c>
      <c r="E9">
        <v>1299</v>
      </c>
      <c r="F9">
        <v>699</v>
      </c>
      <c r="G9">
        <v>4.3</v>
      </c>
      <c r="H9">
        <v>430</v>
      </c>
      <c r="I9" t="s">
        <v>53</v>
      </c>
      <c r="J9" t="s">
        <v>16</v>
      </c>
      <c r="K9" t="s">
        <v>17</v>
      </c>
    </row>
    <row r="10" spans="1:11" x14ac:dyDescent="0.3">
      <c r="A10" t="s">
        <v>54</v>
      </c>
      <c r="B10" t="s">
        <v>55</v>
      </c>
      <c r="C10" t="s">
        <v>56</v>
      </c>
      <c r="D10" t="s">
        <v>57</v>
      </c>
      <c r="E10">
        <v>1499</v>
      </c>
      <c r="F10">
        <v>799</v>
      </c>
      <c r="G10">
        <v>4.4000000000000004</v>
      </c>
      <c r="H10">
        <v>780</v>
      </c>
      <c r="I10" t="s">
        <v>58</v>
      </c>
      <c r="J10" t="s">
        <v>28</v>
      </c>
      <c r="K10" t="s">
        <v>17</v>
      </c>
    </row>
    <row r="11" spans="1:11" x14ac:dyDescent="0.3">
      <c r="A11" t="s">
        <v>59</v>
      </c>
      <c r="B11" t="s">
        <v>60</v>
      </c>
      <c r="C11" t="s">
        <v>61</v>
      </c>
      <c r="D11" t="s">
        <v>62</v>
      </c>
      <c r="E11">
        <v>399</v>
      </c>
      <c r="F11">
        <v>189</v>
      </c>
      <c r="G11">
        <v>4.5</v>
      </c>
      <c r="H11">
        <v>1050</v>
      </c>
      <c r="I11" t="s">
        <v>63</v>
      </c>
      <c r="J11" t="s">
        <v>38</v>
      </c>
      <c r="K11" t="s">
        <v>17</v>
      </c>
    </row>
    <row r="12" spans="1:11" x14ac:dyDescent="0.3">
      <c r="A12" t="s">
        <v>64</v>
      </c>
      <c r="B12" t="s">
        <v>65</v>
      </c>
      <c r="C12" t="s">
        <v>35</v>
      </c>
      <c r="D12" t="s">
        <v>41</v>
      </c>
      <c r="E12">
        <v>999</v>
      </c>
      <c r="F12">
        <v>499</v>
      </c>
      <c r="G12">
        <v>4.2</v>
      </c>
      <c r="H12">
        <v>620</v>
      </c>
      <c r="I12" t="s">
        <v>66</v>
      </c>
      <c r="J12" t="s">
        <v>16</v>
      </c>
      <c r="K12" t="s">
        <v>17</v>
      </c>
    </row>
    <row r="13" spans="1:11" x14ac:dyDescent="0.3">
      <c r="A13" t="s">
        <v>67</v>
      </c>
      <c r="B13" t="s">
        <v>68</v>
      </c>
      <c r="C13" t="s">
        <v>25</v>
      </c>
      <c r="D13" t="s">
        <v>69</v>
      </c>
      <c r="E13">
        <v>1199</v>
      </c>
      <c r="F13">
        <v>699</v>
      </c>
      <c r="G13">
        <v>4.0999999999999996</v>
      </c>
      <c r="H13">
        <v>540</v>
      </c>
      <c r="I13" t="s">
        <v>70</v>
      </c>
      <c r="J13" t="s">
        <v>22</v>
      </c>
      <c r="K13" t="s">
        <v>17</v>
      </c>
    </row>
    <row r="14" spans="1:11" x14ac:dyDescent="0.3">
      <c r="A14" t="s">
        <v>71</v>
      </c>
      <c r="B14" t="s">
        <v>72</v>
      </c>
      <c r="C14" t="s">
        <v>13</v>
      </c>
      <c r="D14" t="s">
        <v>73</v>
      </c>
      <c r="E14">
        <v>2499</v>
      </c>
      <c r="F14">
        <v>1199</v>
      </c>
      <c r="G14">
        <v>4.3</v>
      </c>
      <c r="H14">
        <v>380</v>
      </c>
      <c r="I14" t="s">
        <v>74</v>
      </c>
      <c r="J14" t="s">
        <v>75</v>
      </c>
      <c r="K14" t="s">
        <v>17</v>
      </c>
    </row>
    <row r="15" spans="1:11" x14ac:dyDescent="0.3">
      <c r="A15" t="s">
        <v>76</v>
      </c>
      <c r="B15" t="s">
        <v>77</v>
      </c>
      <c r="C15" t="s">
        <v>35</v>
      </c>
      <c r="D15" t="s">
        <v>36</v>
      </c>
      <c r="E15">
        <v>599</v>
      </c>
      <c r="F15">
        <v>349</v>
      </c>
      <c r="G15">
        <v>4.4000000000000004</v>
      </c>
      <c r="H15">
        <v>510</v>
      </c>
      <c r="I15" t="s">
        <v>78</v>
      </c>
      <c r="J15" t="s">
        <v>28</v>
      </c>
      <c r="K15" t="s">
        <v>17</v>
      </c>
    </row>
    <row r="16" spans="1:11" x14ac:dyDescent="0.3">
      <c r="A16" t="s">
        <v>79</v>
      </c>
      <c r="B16" t="s">
        <v>80</v>
      </c>
      <c r="C16" t="s">
        <v>46</v>
      </c>
      <c r="D16" t="s">
        <v>51</v>
      </c>
      <c r="E16">
        <v>499</v>
      </c>
      <c r="F16">
        <v>249</v>
      </c>
      <c r="G16">
        <v>4</v>
      </c>
      <c r="H16">
        <v>450</v>
      </c>
      <c r="I16" t="s">
        <v>81</v>
      </c>
      <c r="J16" t="s">
        <v>16</v>
      </c>
      <c r="K16" t="s">
        <v>17</v>
      </c>
    </row>
    <row r="17" spans="1:11" x14ac:dyDescent="0.3">
      <c r="A17" t="s">
        <v>82</v>
      </c>
      <c r="B17" t="s">
        <v>83</v>
      </c>
      <c r="C17" t="s">
        <v>56</v>
      </c>
      <c r="D17" t="s">
        <v>84</v>
      </c>
      <c r="E17">
        <v>399</v>
      </c>
      <c r="F17">
        <v>159</v>
      </c>
      <c r="G17">
        <v>4.2</v>
      </c>
      <c r="H17">
        <v>780</v>
      </c>
      <c r="I17" t="s">
        <v>85</v>
      </c>
      <c r="J17" t="s">
        <v>28</v>
      </c>
      <c r="K17" t="s">
        <v>17</v>
      </c>
    </row>
    <row r="18" spans="1:11" x14ac:dyDescent="0.3">
      <c r="A18" t="s">
        <v>86</v>
      </c>
      <c r="B18" t="s">
        <v>87</v>
      </c>
      <c r="C18" t="s">
        <v>51</v>
      </c>
      <c r="D18" t="s">
        <v>88</v>
      </c>
      <c r="E18">
        <v>1299</v>
      </c>
      <c r="F18">
        <v>699</v>
      </c>
      <c r="G18">
        <v>4.3</v>
      </c>
      <c r="H18">
        <v>620</v>
      </c>
      <c r="I18" t="s">
        <v>89</v>
      </c>
      <c r="J18" t="s">
        <v>16</v>
      </c>
      <c r="K18" t="s">
        <v>17</v>
      </c>
    </row>
    <row r="19" spans="1:11" x14ac:dyDescent="0.3">
      <c r="A19" t="s">
        <v>90</v>
      </c>
      <c r="B19" t="s">
        <v>91</v>
      </c>
      <c r="C19" t="s">
        <v>35</v>
      </c>
      <c r="D19" t="s">
        <v>41</v>
      </c>
      <c r="E19">
        <v>1499</v>
      </c>
      <c r="F19">
        <v>749</v>
      </c>
      <c r="G19">
        <v>4.4000000000000004</v>
      </c>
      <c r="H19">
        <v>530</v>
      </c>
      <c r="I19" t="s">
        <v>92</v>
      </c>
      <c r="J19" t="s">
        <v>22</v>
      </c>
      <c r="K19" t="s">
        <v>17</v>
      </c>
    </row>
    <row r="20" spans="1:11" x14ac:dyDescent="0.3">
      <c r="A20" t="s">
        <v>93</v>
      </c>
      <c r="B20" t="s">
        <v>94</v>
      </c>
      <c r="C20" t="s">
        <v>13</v>
      </c>
      <c r="D20" t="s">
        <v>95</v>
      </c>
      <c r="E20">
        <v>299</v>
      </c>
      <c r="F20">
        <v>149</v>
      </c>
      <c r="G20">
        <v>4.0999999999999996</v>
      </c>
      <c r="H20">
        <v>800</v>
      </c>
      <c r="I20" t="s">
        <v>96</v>
      </c>
      <c r="J20" t="s">
        <v>38</v>
      </c>
      <c r="K20" t="s">
        <v>17</v>
      </c>
    </row>
    <row r="21" spans="1:11" x14ac:dyDescent="0.3">
      <c r="A21" t="s">
        <v>97</v>
      </c>
      <c r="B21" t="s">
        <v>98</v>
      </c>
      <c r="C21" t="s">
        <v>56</v>
      </c>
      <c r="D21" t="s">
        <v>99</v>
      </c>
      <c r="E21">
        <v>999</v>
      </c>
      <c r="F21">
        <v>549</v>
      </c>
      <c r="G21">
        <v>4.2</v>
      </c>
      <c r="H21">
        <v>690</v>
      </c>
      <c r="I21" t="s">
        <v>100</v>
      </c>
      <c r="J21" t="s">
        <v>16</v>
      </c>
      <c r="K21" t="s">
        <v>17</v>
      </c>
    </row>
    <row r="22" spans="1:11" x14ac:dyDescent="0.3">
      <c r="A22" t="s">
        <v>101</v>
      </c>
      <c r="B22" t="s">
        <v>102</v>
      </c>
      <c r="C22" t="s">
        <v>46</v>
      </c>
      <c r="D22" t="s">
        <v>103</v>
      </c>
      <c r="E22">
        <v>699</v>
      </c>
      <c r="F22">
        <v>349</v>
      </c>
      <c r="G22">
        <v>4.5</v>
      </c>
      <c r="H22">
        <v>420</v>
      </c>
      <c r="I22" t="s">
        <v>104</v>
      </c>
      <c r="J22" t="s">
        <v>22</v>
      </c>
      <c r="K22" t="s">
        <v>17</v>
      </c>
    </row>
    <row r="23" spans="1:11" x14ac:dyDescent="0.3">
      <c r="A23" t="s">
        <v>105</v>
      </c>
      <c r="B23" t="s">
        <v>106</v>
      </c>
      <c r="C23" t="s">
        <v>107</v>
      </c>
      <c r="D23" t="s">
        <v>51</v>
      </c>
      <c r="E23">
        <v>199</v>
      </c>
      <c r="F23">
        <v>99</v>
      </c>
      <c r="G23">
        <v>4</v>
      </c>
      <c r="H23">
        <v>1150</v>
      </c>
      <c r="I23" t="s">
        <v>108</v>
      </c>
      <c r="J23" t="s">
        <v>38</v>
      </c>
      <c r="K23" t="s">
        <v>17</v>
      </c>
    </row>
    <row r="24" spans="1:11" x14ac:dyDescent="0.3">
      <c r="A24" t="s">
        <v>109</v>
      </c>
      <c r="B24" t="s">
        <v>110</v>
      </c>
      <c r="C24" t="s">
        <v>35</v>
      </c>
      <c r="D24" t="s">
        <v>36</v>
      </c>
      <c r="E24">
        <v>699</v>
      </c>
      <c r="F24">
        <v>349</v>
      </c>
      <c r="G24">
        <v>4.2</v>
      </c>
      <c r="H24">
        <v>590</v>
      </c>
      <c r="I24" t="s">
        <v>111</v>
      </c>
      <c r="J24" t="s">
        <v>28</v>
      </c>
      <c r="K24" t="s">
        <v>17</v>
      </c>
    </row>
    <row r="25" spans="1:11" x14ac:dyDescent="0.3">
      <c r="A25" t="s">
        <v>112</v>
      </c>
      <c r="B25" t="s">
        <v>113</v>
      </c>
      <c r="C25" t="s">
        <v>25</v>
      </c>
      <c r="D25" t="s">
        <v>114</v>
      </c>
      <c r="E25">
        <v>699</v>
      </c>
      <c r="F25">
        <v>299</v>
      </c>
      <c r="G25">
        <v>4.3</v>
      </c>
      <c r="H25">
        <v>880</v>
      </c>
      <c r="I25" t="s">
        <v>115</v>
      </c>
      <c r="J25" t="s">
        <v>28</v>
      </c>
      <c r="K25" t="s">
        <v>17</v>
      </c>
    </row>
    <row r="26" spans="1:11" x14ac:dyDescent="0.3">
      <c r="A26" t="s">
        <v>116</v>
      </c>
      <c r="B26" t="s">
        <v>117</v>
      </c>
      <c r="C26" t="s">
        <v>13</v>
      </c>
      <c r="D26" t="s">
        <v>118</v>
      </c>
      <c r="E26">
        <v>899</v>
      </c>
      <c r="F26">
        <v>449</v>
      </c>
      <c r="G26">
        <v>4.4000000000000004</v>
      </c>
      <c r="H26">
        <v>710</v>
      </c>
      <c r="I26" t="s">
        <v>119</v>
      </c>
      <c r="J26" t="s">
        <v>22</v>
      </c>
      <c r="K26" t="s">
        <v>17</v>
      </c>
    </row>
    <row r="27" spans="1:11" x14ac:dyDescent="0.3">
      <c r="A27" t="s">
        <v>120</v>
      </c>
      <c r="B27" t="s">
        <v>121</v>
      </c>
      <c r="C27" t="s">
        <v>46</v>
      </c>
      <c r="D27" t="s">
        <v>122</v>
      </c>
      <c r="E27">
        <v>599</v>
      </c>
      <c r="F27">
        <v>299</v>
      </c>
      <c r="G27">
        <v>4.5</v>
      </c>
      <c r="H27">
        <v>650</v>
      </c>
      <c r="I27" t="s">
        <v>123</v>
      </c>
      <c r="J27" t="s">
        <v>38</v>
      </c>
      <c r="K27" t="s">
        <v>17</v>
      </c>
    </row>
    <row r="28" spans="1:11" x14ac:dyDescent="0.3">
      <c r="A28" t="s">
        <v>124</v>
      </c>
      <c r="B28" t="s">
        <v>125</v>
      </c>
      <c r="C28" t="s">
        <v>56</v>
      </c>
      <c r="D28" t="s">
        <v>126</v>
      </c>
      <c r="E28">
        <v>799</v>
      </c>
      <c r="F28">
        <v>399</v>
      </c>
      <c r="G28">
        <v>4.3</v>
      </c>
      <c r="H28">
        <v>510</v>
      </c>
      <c r="I28" t="s">
        <v>127</v>
      </c>
      <c r="J28" t="s">
        <v>28</v>
      </c>
      <c r="K28" t="s">
        <v>17</v>
      </c>
    </row>
    <row r="29" spans="1:11" x14ac:dyDescent="0.3">
      <c r="A29" t="s">
        <v>128</v>
      </c>
      <c r="B29" t="s">
        <v>129</v>
      </c>
      <c r="C29" t="s">
        <v>25</v>
      </c>
      <c r="D29" t="s">
        <v>31</v>
      </c>
      <c r="E29">
        <v>899</v>
      </c>
      <c r="F29">
        <v>499</v>
      </c>
      <c r="G29">
        <v>4.0999999999999996</v>
      </c>
      <c r="H29">
        <v>720</v>
      </c>
      <c r="I29" t="s">
        <v>130</v>
      </c>
      <c r="J29" t="s">
        <v>16</v>
      </c>
      <c r="K29" t="s">
        <v>17</v>
      </c>
    </row>
    <row r="30" spans="1:11" x14ac:dyDescent="0.3">
      <c r="A30" t="s">
        <v>131</v>
      </c>
      <c r="B30" t="s">
        <v>132</v>
      </c>
      <c r="C30" t="s">
        <v>61</v>
      </c>
      <c r="D30" t="s">
        <v>133</v>
      </c>
      <c r="E30">
        <v>1299</v>
      </c>
      <c r="F30">
        <v>649</v>
      </c>
      <c r="G30">
        <v>4.4000000000000004</v>
      </c>
      <c r="H30">
        <v>580</v>
      </c>
      <c r="I30" t="s">
        <v>134</v>
      </c>
      <c r="J30" t="s">
        <v>28</v>
      </c>
      <c r="K30" t="s">
        <v>17</v>
      </c>
    </row>
    <row r="31" spans="1:11" x14ac:dyDescent="0.3">
      <c r="A31" t="s">
        <v>135</v>
      </c>
      <c r="B31" t="s">
        <v>136</v>
      </c>
      <c r="C31" t="s">
        <v>35</v>
      </c>
      <c r="D31" t="s">
        <v>137</v>
      </c>
      <c r="E31">
        <v>499</v>
      </c>
      <c r="F31">
        <v>229</v>
      </c>
      <c r="G31">
        <v>4.2</v>
      </c>
      <c r="H31">
        <v>450</v>
      </c>
      <c r="I31" t="s">
        <v>138</v>
      </c>
      <c r="J31" t="s">
        <v>38</v>
      </c>
      <c r="K31" t="s">
        <v>17</v>
      </c>
    </row>
    <row r="33" spans="1:2" x14ac:dyDescent="0.3">
      <c r="B33" t="s">
        <v>139</v>
      </c>
    </row>
    <row r="34" spans="1:2" x14ac:dyDescent="0.3">
      <c r="B34" t="s">
        <v>140</v>
      </c>
    </row>
    <row r="35" spans="1:2" x14ac:dyDescent="0.3">
      <c r="B35" t="s">
        <v>141</v>
      </c>
    </row>
    <row r="37" spans="1:2" x14ac:dyDescent="0.3">
      <c r="A37" t="s">
        <v>142</v>
      </c>
      <c r="B37" t="s">
        <v>143</v>
      </c>
    </row>
    <row r="38" spans="1:2" x14ac:dyDescent="0.3">
      <c r="A38" t="s">
        <v>144</v>
      </c>
      <c r="B38" t="s">
        <v>145</v>
      </c>
    </row>
    <row r="39" spans="1:2" x14ac:dyDescent="0.3">
      <c r="A39" t="s">
        <v>146</v>
      </c>
      <c r="B39" t="s">
        <v>147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98A5ED-F365-476E-821C-AAE4009544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Product_clean</vt:lpstr>
      <vt:lpstr>Customer</vt:lpstr>
      <vt:lpstr>Location_map</vt:lpstr>
      <vt:lpstr>Pivot_Revenue_BY_Category</vt:lpstr>
      <vt:lpstr>Orders</vt:lpstr>
      <vt:lpstr>Sheet10</vt:lpstr>
      <vt:lpstr>Ref_Amnt_By_Ref_Rsn_Pivot</vt:lpstr>
      <vt:lpstr>Refund</vt:lpstr>
      <vt:lpstr>Sheet11</vt:lpstr>
      <vt:lpstr>Pivot_On-Site VS Late</vt:lpstr>
      <vt:lpstr>KPI_Summary</vt:lpstr>
      <vt:lpstr>Delivery</vt:lpstr>
      <vt:lpstr>Dashboard</vt:lpstr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SOJA P S</dc:creator>
  <cp:lastModifiedBy>SOJA P S</cp:lastModifiedBy>
  <dcterms:created xsi:type="dcterms:W3CDTF">2026-02-03T05:00:47Z</dcterms:created>
  <dcterms:modified xsi:type="dcterms:W3CDTF">2026-03-24T07:00:09Z</dcterms:modified>
</cp:coreProperties>
</file>